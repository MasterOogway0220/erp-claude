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A234 WPB+NACE" sheetId="2" r:id="rId1"/>
  </sheets>
  <definedNames>
    <definedName name="_xlnm.Print_Area" localSheetId="0">'A234 WPB+NACE'!$A$1:$DF$67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T25" i="2" l="1"/>
  <c r="CZ26" i="2" l="1"/>
  <c r="CT26" i="2"/>
  <c r="CZ25" i="2"/>
  <c r="E25" i="2"/>
  <c r="E42" i="2" s="1"/>
  <c r="A25" i="2"/>
  <c r="A42" i="2" s="1"/>
</calcChain>
</file>

<file path=xl/sharedStrings.xml><?xml version="1.0" encoding="utf-8"?>
<sst xmlns="http://schemas.openxmlformats.org/spreadsheetml/2006/main" count="186" uniqueCount="137">
  <si>
    <t>MILL TEST CERTIFICATE</t>
  </si>
  <si>
    <t>EN 10204:2004 3.1 / ISO 10474:1991 3.1</t>
  </si>
  <si>
    <t xml:space="preserve"> Manufacturer of Pipes, Fittings &amp; Flanges in Carbon Steel, Alloy Steel, Stainless Steel, Duplex Steel &amp; Nickel Alloys</t>
  </si>
  <si>
    <t>Customer</t>
  </si>
  <si>
    <t>Certificate No.</t>
  </si>
  <si>
    <t>Date</t>
  </si>
  <si>
    <t>-</t>
  </si>
  <si>
    <t xml:space="preserve">Project Name </t>
  </si>
  <si>
    <t>Other Reference</t>
  </si>
  <si>
    <t>Material Specification</t>
  </si>
  <si>
    <t>ASTM A234-2018a GR. WPB</t>
  </si>
  <si>
    <t>Starting Material</t>
  </si>
  <si>
    <t>SEAMLESS PIPE</t>
  </si>
  <si>
    <t>Additional Requirement</t>
  </si>
  <si>
    <t>Heat Treatment</t>
  </si>
  <si>
    <t>ITEM</t>
  </si>
  <si>
    <t>DESCRIPTION</t>
  </si>
  <si>
    <t>CONSTRUCTION</t>
  </si>
  <si>
    <t>DIMENSION</t>
  </si>
  <si>
    <t>SIZE</t>
  </si>
  <si>
    <t>QTY.</t>
  </si>
  <si>
    <t>HEAT NO.</t>
  </si>
  <si>
    <t>RAW MATERIAL</t>
  </si>
  <si>
    <t>NO.</t>
  </si>
  <si>
    <t>TYPE</t>
  </si>
  <si>
    <t>STANDARD</t>
  </si>
  <si>
    <t>OD 1</t>
  </si>
  <si>
    <t>WT 1</t>
  </si>
  <si>
    <t>OD 2</t>
  </si>
  <si>
    <t>WT 2</t>
  </si>
  <si>
    <t>PCS.</t>
  </si>
  <si>
    <t>SEAMLESS</t>
  </si>
  <si>
    <t>ASME B16.9-18</t>
  </si>
  <si>
    <t xml:space="preserve">C H E M I C A L   C O M P O S I T I O N  </t>
  </si>
  <si>
    <t xml:space="preserve">ITEM </t>
  </si>
  <si>
    <t>%</t>
  </si>
  <si>
    <t>C</t>
  </si>
  <si>
    <t>Mn</t>
  </si>
  <si>
    <t>P</t>
  </si>
  <si>
    <t>S</t>
  </si>
  <si>
    <t>Si</t>
  </si>
  <si>
    <t>Cr</t>
  </si>
  <si>
    <t>Mo</t>
  </si>
  <si>
    <t>Ni</t>
  </si>
  <si>
    <t>Cu</t>
  </si>
  <si>
    <t>V</t>
  </si>
  <si>
    <t>F1</t>
  </si>
  <si>
    <t>CEQ</t>
  </si>
  <si>
    <t>min.</t>
  </si>
  <si>
    <t>--</t>
  </si>
  <si>
    <t>max.</t>
  </si>
  <si>
    <t>H</t>
  </si>
  <si>
    <t>F1 = Cu+Ni+Cr+Mo  ;  CEQ = C + Mn/6 + (Cr+Mo+V)/5 + (Ni+Cu)/15</t>
  </si>
  <si>
    <t>M E C H A N I C A L   P R O P E R T I E S</t>
  </si>
  <si>
    <t>on Raw Material</t>
  </si>
  <si>
    <t>√</t>
  </si>
  <si>
    <t>on Finished Material</t>
  </si>
  <si>
    <t>TENSILE PROPERTIES</t>
  </si>
  <si>
    <t>HARDNESS</t>
  </si>
  <si>
    <t>IMPACT PROPERTIES</t>
  </si>
  <si>
    <t>Client</t>
  </si>
  <si>
    <t>TEST METHOD</t>
  </si>
  <si>
    <t>ASTM A370</t>
  </si>
  <si>
    <t>ROOM TEMP.</t>
  </si>
  <si>
    <t>TEMPERATURE</t>
  </si>
  <si>
    <t>Item Code</t>
  </si>
  <si>
    <t>YS</t>
  </si>
  <si>
    <t>TS</t>
  </si>
  <si>
    <t>EL</t>
  </si>
  <si>
    <t>RA</t>
  </si>
  <si>
    <t>HB</t>
  </si>
  <si>
    <t>SPECIMEN</t>
  </si>
  <si>
    <t>TEST RESULTS (Joules)</t>
  </si>
  <si>
    <t>MPa</t>
  </si>
  <si>
    <t>(1)</t>
  </si>
  <si>
    <t>(2)</t>
  </si>
  <si>
    <t>(3)</t>
  </si>
  <si>
    <t>Size (mm)</t>
  </si>
  <si>
    <t>AVG.</t>
  </si>
  <si>
    <t>197</t>
  </si>
  <si>
    <t>L</t>
  </si>
  <si>
    <t>B</t>
  </si>
  <si>
    <t>Notes:</t>
  </si>
  <si>
    <t>Legends :</t>
  </si>
  <si>
    <t>Visual &amp; Dimension</t>
  </si>
  <si>
    <t>:</t>
  </si>
  <si>
    <t>Satisfactory</t>
  </si>
  <si>
    <t>Heat</t>
  </si>
  <si>
    <t>R</t>
  </si>
  <si>
    <t>Round</t>
  </si>
  <si>
    <t>Reduction Area</t>
  </si>
  <si>
    <t>Product</t>
  </si>
  <si>
    <t>W</t>
  </si>
  <si>
    <t>Weld</t>
  </si>
  <si>
    <t>N</t>
  </si>
  <si>
    <t>Normalized</t>
  </si>
  <si>
    <t>Londitudinal</t>
  </si>
  <si>
    <t>Yield strength</t>
  </si>
  <si>
    <t>N&amp;T</t>
  </si>
  <si>
    <t>Normalize &amp; Tempered</t>
  </si>
  <si>
    <t>T</t>
  </si>
  <si>
    <t>Transverse</t>
  </si>
  <si>
    <t>Tensile strength</t>
  </si>
  <si>
    <t>Q</t>
  </si>
  <si>
    <t>Quenched</t>
  </si>
  <si>
    <t>Base</t>
  </si>
  <si>
    <t>Elongation</t>
  </si>
  <si>
    <t>ANL</t>
  </si>
  <si>
    <t>Annealed</t>
  </si>
  <si>
    <t>Remarks:</t>
  </si>
  <si>
    <t>All material supplied is certified to be free from mercury contamination &amp; no mercury bearing equipment was used during manufacturing.</t>
  </si>
  <si>
    <t>Killed steel &amp; fine grain.</t>
  </si>
  <si>
    <t>No weld repair was performed.</t>
  </si>
  <si>
    <t>Reviewed by</t>
  </si>
  <si>
    <t>Witnessed by</t>
  </si>
  <si>
    <t>Auth. Signatory</t>
  </si>
  <si>
    <t>Incharge (QA / QC Dept.)</t>
  </si>
  <si>
    <t>Redg. Office: 42/46, Guru Rajendra House, 15/1St Floor, 5th Kumbharwada, Mumbai - 400 004, Maharashtra, India. Tel.: +91-22-23873829, Fax: +91-22-23824659</t>
  </si>
  <si>
    <t>Works: Unit No. 16, 17 &amp; 78, Choudhary Compound, Wakan Pada, Village - Dahanu Road, Nalasopara ( East), Thane - 401209, Maharashtra, India</t>
  </si>
  <si>
    <t>NACE MR0175/MR0103</t>
  </si>
  <si>
    <t xml:space="preserve">All Fittings Bevel End DP tested </t>
  </si>
  <si>
    <t>as per ASTM E165</t>
  </si>
  <si>
    <t>N480</t>
  </si>
  <si>
    <t>F1287</t>
  </si>
  <si>
    <t>P.O. No. / P. R. No.</t>
  </si>
  <si>
    <t>N-PIPE SOLUTIONS INC.</t>
  </si>
  <si>
    <t>ELBOW 90D LR, BW R=1.5D</t>
  </si>
  <si>
    <t xml:space="preserve">NORMALIZED - 920° C </t>
  </si>
  <si>
    <t>NPFI/QC/2025/25059</t>
  </si>
  <si>
    <t>P05006449</t>
  </si>
  <si>
    <t>2" NB</t>
  </si>
  <si>
    <t>SCH 80</t>
  </si>
  <si>
    <t>O</t>
  </si>
  <si>
    <t>Orientation</t>
  </si>
  <si>
    <t>Strip</t>
  </si>
  <si>
    <t>We hereby certify that the material herein manufactured, sampled, tested &amp; inspected in accordance with the above specification and requirements of Purchase order.</t>
  </si>
  <si>
    <t>XXXX XXXX XXX 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</si>
</sst>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/>
    <xf numFmtId="0" fontId="1" fillId="2" borderId="0" xfId="0" applyFont="1" applyFill="1" applyBorder="1"/>
    <xf numFmtId="0" fontId="6" fillId="2" borderId="2" xfId="0" applyFont="1" applyFill="1" applyBorder="1" applyAlignment="1"/>
    <xf numFmtId="0" fontId="6" fillId="2" borderId="2" xfId="0" applyFont="1" applyFill="1" applyBorder="1" applyAlignment="1">
      <alignment horizontal="left" vertical="center"/>
    </xf>
    <xf numFmtId="164" fontId="1" fillId="0" borderId="0" xfId="0" applyNumberFormat="1" applyFont="1"/>
    <xf numFmtId="0" fontId="1" fillId="2" borderId="0" xfId="0" applyFont="1" applyFill="1" applyBorder="1" applyAlignment="1">
      <alignment horizontal="center" vertical="center"/>
    </xf>
    <xf numFmtId="2" fontId="1" fillId="2" borderId="0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8" fillId="2" borderId="0" xfId="0" applyFont="1" applyFill="1" applyAlignment="1">
      <alignment horizontal="left" vertical="center"/>
    </xf>
    <xf numFmtId="0" fontId="1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3" fillId="2" borderId="0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4" fontId="7" fillId="2" borderId="5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" fillId="2" borderId="2" xfId="0" quotePrefix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" fillId="2" borderId="5" xfId="0" quotePrefix="1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21" fontId="1" fillId="2" borderId="5" xfId="0" quotePrefix="1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2" fontId="6" fillId="2" borderId="2" xfId="0" quotePrefix="1" applyNumberFormat="1" applyFont="1" applyFill="1" applyBorder="1" applyAlignment="1">
      <alignment horizontal="center" vertical="center"/>
    </xf>
    <xf numFmtId="2" fontId="6" fillId="2" borderId="3" xfId="0" quotePrefix="1" applyNumberFormat="1" applyFont="1" applyFill="1" applyBorder="1" applyAlignment="1">
      <alignment horizontal="center" vertical="center"/>
    </xf>
    <xf numFmtId="2" fontId="6" fillId="2" borderId="4" xfId="0" quotePrefix="1" applyNumberFormat="1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2" fontId="6" fillId="2" borderId="3" xfId="0" applyNumberFormat="1" applyFont="1" applyFill="1" applyBorder="1" applyAlignment="1">
      <alignment horizontal="center" vertical="center"/>
    </xf>
    <xf numFmtId="2" fontId="6" fillId="2" borderId="4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2" fontId="7" fillId="2" borderId="2" xfId="0" applyNumberFormat="1" applyFont="1" applyFill="1" applyBorder="1" applyAlignment="1">
      <alignment horizontal="center" vertical="center"/>
    </xf>
    <xf numFmtId="2" fontId="7" fillId="2" borderId="3" xfId="0" applyNumberFormat="1" applyFont="1" applyFill="1" applyBorder="1" applyAlignment="1">
      <alignment horizontal="center" vertical="center"/>
    </xf>
    <xf numFmtId="2" fontId="7" fillId="2" borderId="4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164" fontId="7" fillId="2" borderId="3" xfId="0" applyNumberFormat="1" applyFont="1" applyFill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/>
    </xf>
    <xf numFmtId="2" fontId="13" fillId="2" borderId="2" xfId="0" applyNumberFormat="1" applyFont="1" applyFill="1" applyBorder="1" applyAlignment="1">
      <alignment horizontal="center" vertical="center"/>
    </xf>
    <xf numFmtId="2" fontId="13" fillId="2" borderId="3" xfId="0" applyNumberFormat="1" applyFont="1" applyFill="1" applyBorder="1" applyAlignment="1">
      <alignment horizontal="center" vertical="center"/>
    </xf>
    <xf numFmtId="2" fontId="13" fillId="2" borderId="4" xfId="0" applyNumberFormat="1" applyFont="1" applyFill="1" applyBorder="1" applyAlignment="1">
      <alignment horizontal="center" vertical="center"/>
    </xf>
    <xf numFmtId="2" fontId="7" fillId="2" borderId="5" xfId="0" applyNumberFormat="1" applyFont="1" applyFill="1" applyBorder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3" fillId="2" borderId="4" xfId="0" applyNumberFormat="1" applyFont="1" applyFill="1" applyBorder="1" applyAlignment="1">
      <alignment horizontal="center" vertical="center"/>
    </xf>
    <xf numFmtId="21" fontId="1" fillId="2" borderId="5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49" fontId="10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49" fontId="10" fillId="2" borderId="5" xfId="0" applyNumberFormat="1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/>
    </xf>
    <xf numFmtId="49" fontId="10" fillId="2" borderId="3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2" borderId="5" xfId="0" quotePrefix="1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" xfId="0" applyNumberFormat="1" applyFont="1" applyFill="1" applyBorder="1" applyAlignment="1">
      <alignment horizontal="center" vertical="center" wrapText="1"/>
    </xf>
    <xf numFmtId="49" fontId="10" fillId="2" borderId="4" xfId="0" applyNumberFormat="1" applyFont="1" applyFill="1" applyBorder="1" applyAlignment="1">
      <alignment horizontal="center" vertical="center" wrapText="1"/>
    </xf>
    <xf numFmtId="49" fontId="14" fillId="2" borderId="2" xfId="0" applyNumberFormat="1" applyFont="1" applyFill="1" applyBorder="1" applyAlignment="1">
      <alignment horizontal="center" vertical="center" wrapText="1"/>
    </xf>
    <xf numFmtId="49" fontId="14" fillId="2" borderId="3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/>
    </xf>
    <xf numFmtId="0" fontId="1" fillId="2" borderId="5" xfId="0" quotePrefix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 wrapText="1"/>
    </xf>
    <xf numFmtId="1" fontId="7" fillId="2" borderId="5" xfId="0" applyNumberFormat="1" applyFont="1" applyFill="1" applyBorder="1" applyAlignment="1">
      <alignment horizontal="center" vertical="center" wrapText="1"/>
    </xf>
    <xf numFmtId="1" fontId="7" fillId="2" borderId="5" xfId="0" applyNumberFormat="1" applyFont="1" applyFill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/>
    </xf>
    <xf numFmtId="1" fontId="7" fillId="2" borderId="3" xfId="0" applyNumberFormat="1" applyFont="1" applyFill="1" applyBorder="1" applyAlignment="1">
      <alignment horizontal="center" vertical="center"/>
    </xf>
    <xf numFmtId="1" fontId="7" fillId="2" borderId="4" xfId="0" applyNumberFormat="1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6" fillId="2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19050</xdr:colOff>
      <xdr:row>57</xdr:row>
      <xdr:rowOff>123825</xdr:rowOff>
    </xdr:from>
    <xdr:to>
      <xdr:col>76</xdr:col>
      <xdr:colOff>28575</xdr:colOff>
      <xdr:row>65</xdr:row>
      <xdr:rowOff>47625</xdr:rowOff>
    </xdr:to>
    <xdr:pic>
      <xdr:nvPicPr>
        <xdr:cNvPr id="2" name="Picture 3" descr="NPFI.gif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8343900"/>
          <a:ext cx="160972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97</xdr:col>
      <xdr:colOff>47625</xdr:colOff>
      <xdr:row>90</xdr:row>
      <xdr:rowOff>57150</xdr:rowOff>
    </xdr:from>
    <xdr:to>
      <xdr:col>111</xdr:col>
      <xdr:colOff>304800</xdr:colOff>
      <xdr:row>97</xdr:row>
      <xdr:rowOff>38100</xdr:rowOff>
    </xdr:to>
    <xdr:pic>
      <xdr:nvPicPr>
        <xdr:cNvPr id="3" name="Picture 3" descr="NPFI.gif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1175" y="13163550"/>
          <a:ext cx="160972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113</xdr:col>
      <xdr:colOff>238125</xdr:colOff>
      <xdr:row>90</xdr:row>
      <xdr:rowOff>95250</xdr:rowOff>
    </xdr:from>
    <xdr:to>
      <xdr:col>114</xdr:col>
      <xdr:colOff>247650</xdr:colOff>
      <xdr:row>94</xdr:row>
      <xdr:rowOff>104775</xdr:rowOff>
    </xdr:to>
    <xdr:pic>
      <xdr:nvPicPr>
        <xdr:cNvPr id="4" name="Picture 3" descr="npfi-stamp.gif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3425" y="13201650"/>
          <a:ext cx="6191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111</xdr:col>
      <xdr:colOff>361950</xdr:colOff>
      <xdr:row>92</xdr:row>
      <xdr:rowOff>9525</xdr:rowOff>
    </xdr:from>
    <xdr:to>
      <xdr:col>114</xdr:col>
      <xdr:colOff>47625</xdr:colOff>
      <xdr:row>96</xdr:row>
      <xdr:rowOff>0</xdr:rowOff>
    </xdr:to>
    <xdr:pic>
      <xdr:nvPicPr>
        <xdr:cNvPr id="5" name="Picture 4" descr="npfi-sign.gif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13420725"/>
          <a:ext cx="15144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77</xdr:col>
      <xdr:colOff>28575</xdr:colOff>
      <xdr:row>59</xdr:row>
      <xdr:rowOff>76200</xdr:rowOff>
    </xdr:from>
    <xdr:to>
      <xdr:col>104</xdr:col>
      <xdr:colOff>1139</xdr:colOff>
      <xdr:row>64</xdr:row>
      <xdr:rowOff>9525</xdr:rowOff>
    </xdr:to>
    <xdr:pic>
      <xdr:nvPicPr>
        <xdr:cNvPr id="6" name="Picture 4" descr="npfi-sign.gif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5" y="8601075"/>
          <a:ext cx="15144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95250</xdr:rowOff>
    </xdr:from>
    <xdr:to>
      <xdr:col>19</xdr:col>
      <xdr:colOff>38100</xdr:colOff>
      <xdr:row>3</xdr:row>
      <xdr:rowOff>95250</xdr:rowOff>
    </xdr:to>
    <xdr:pic>
      <xdr:nvPicPr>
        <xdr:cNvPr id="8" name="Picture 9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95250"/>
          <a:ext cx="10287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9525</xdr:colOff>
      <xdr:row>0</xdr:row>
      <xdr:rowOff>76200</xdr:rowOff>
    </xdr:from>
    <xdr:to>
      <xdr:col>29</xdr:col>
      <xdr:colOff>47625</xdr:colOff>
      <xdr:row>3</xdr:row>
      <xdr:rowOff>104775</xdr:rowOff>
    </xdr:to>
    <xdr:pic>
      <xdr:nvPicPr>
        <xdr:cNvPr id="9" name="Picture 10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" y="76200"/>
          <a:ext cx="4381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96</xdr:col>
      <xdr:colOff>0</xdr:colOff>
      <xdr:row>58</xdr:row>
      <xdr:rowOff>0</xdr:rowOff>
    </xdr:from>
    <xdr:to>
      <xdr:col>106</xdr:col>
      <xdr:colOff>47625</xdr:colOff>
      <xdr:row>62</xdr:row>
      <xdr:rowOff>133350</xdr:rowOff>
    </xdr:to>
    <xdr:pic>
      <xdr:nvPicPr>
        <xdr:cNvPr id="10" name="Picture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372475"/>
          <a:ext cx="6191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74</xdr:col>
      <xdr:colOff>48986</xdr:colOff>
      <xdr:row>0</xdr:row>
      <xdr:rowOff>65314</xdr:rowOff>
    </xdr:from>
    <xdr:to>
      <xdr:col>108</xdr:col>
      <xdr:colOff>45927</xdr:colOff>
      <xdr:row>3</xdr:row>
      <xdr:rowOff>76542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9472" y="65314"/>
          <a:ext cx="2032569" cy="435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373"/>
  <sheetViews>
    <sheetView tabSelected="1" view="pageBreakPreview" zoomScale="160" zoomScaleSheetLayoutView="160" workbookViewId="0">
      <selection activeCell="U8" sqref="U8:BC8"/>
    </sheetView>
  </sheetViews>
  <sheetFormatPr defaultRowHeight="11.25" x14ac:dyDescent="0.2"/>
  <cols>
    <col min="1" max="110" width="0.85546875" style="2" customWidth="1"/>
    <col min="111" max="256" width="9.140625" style="2"/>
    <col min="257" max="366" width="0.85546875" style="2" customWidth="1"/>
    <col min="367" max="512" width="9.140625" style="2"/>
    <col min="513" max="622" width="0.85546875" style="2" customWidth="1"/>
    <col min="623" max="768" width="9.140625" style="2"/>
    <col min="769" max="878" width="0.85546875" style="2" customWidth="1"/>
    <col min="879" max="1024" width="9.140625" style="2"/>
    <col min="1025" max="1134" width="0.85546875" style="2" customWidth="1"/>
    <col min="1135" max="1280" width="9.140625" style="2"/>
    <col min="1281" max="1390" width="0.85546875" style="2" customWidth="1"/>
    <col min="1391" max="1536" width="9.140625" style="2"/>
    <col min="1537" max="1646" width="0.85546875" style="2" customWidth="1"/>
    <col min="1647" max="1792" width="9.140625" style="2"/>
    <col min="1793" max="1902" width="0.85546875" style="2" customWidth="1"/>
    <col min="1903" max="2048" width="9.140625" style="2"/>
    <col min="2049" max="2158" width="0.85546875" style="2" customWidth="1"/>
    <col min="2159" max="2304" width="9.140625" style="2"/>
    <col min="2305" max="2414" width="0.85546875" style="2" customWidth="1"/>
    <col min="2415" max="2560" width="9.140625" style="2"/>
    <col min="2561" max="2670" width="0.85546875" style="2" customWidth="1"/>
    <col min="2671" max="2816" width="9.140625" style="2"/>
    <col min="2817" max="2926" width="0.85546875" style="2" customWidth="1"/>
    <col min="2927" max="3072" width="9.140625" style="2"/>
    <col min="3073" max="3182" width="0.85546875" style="2" customWidth="1"/>
    <col min="3183" max="3328" width="9.140625" style="2"/>
    <col min="3329" max="3438" width="0.85546875" style="2" customWidth="1"/>
    <col min="3439" max="3584" width="9.140625" style="2"/>
    <col min="3585" max="3694" width="0.85546875" style="2" customWidth="1"/>
    <col min="3695" max="3840" width="9.140625" style="2"/>
    <col min="3841" max="3950" width="0.85546875" style="2" customWidth="1"/>
    <col min="3951" max="4096" width="9.140625" style="2"/>
    <col min="4097" max="4206" width="0.85546875" style="2" customWidth="1"/>
    <col min="4207" max="4352" width="9.140625" style="2"/>
    <col min="4353" max="4462" width="0.85546875" style="2" customWidth="1"/>
    <col min="4463" max="4608" width="9.140625" style="2"/>
    <col min="4609" max="4718" width="0.85546875" style="2" customWidth="1"/>
    <col min="4719" max="4864" width="9.140625" style="2"/>
    <col min="4865" max="4974" width="0.85546875" style="2" customWidth="1"/>
    <col min="4975" max="5120" width="9.140625" style="2"/>
    <col min="5121" max="5230" width="0.85546875" style="2" customWidth="1"/>
    <col min="5231" max="5376" width="9.140625" style="2"/>
    <col min="5377" max="5486" width="0.85546875" style="2" customWidth="1"/>
    <col min="5487" max="5632" width="9.140625" style="2"/>
    <col min="5633" max="5742" width="0.85546875" style="2" customWidth="1"/>
    <col min="5743" max="5888" width="9.140625" style="2"/>
    <col min="5889" max="5998" width="0.85546875" style="2" customWidth="1"/>
    <col min="5999" max="6144" width="9.140625" style="2"/>
    <col min="6145" max="6254" width="0.85546875" style="2" customWidth="1"/>
    <col min="6255" max="6400" width="9.140625" style="2"/>
    <col min="6401" max="6510" width="0.85546875" style="2" customWidth="1"/>
    <col min="6511" max="6656" width="9.140625" style="2"/>
    <col min="6657" max="6766" width="0.85546875" style="2" customWidth="1"/>
    <col min="6767" max="6912" width="9.140625" style="2"/>
    <col min="6913" max="7022" width="0.85546875" style="2" customWidth="1"/>
    <col min="7023" max="7168" width="9.140625" style="2"/>
    <col min="7169" max="7278" width="0.85546875" style="2" customWidth="1"/>
    <col min="7279" max="7424" width="9.140625" style="2"/>
    <col min="7425" max="7534" width="0.85546875" style="2" customWidth="1"/>
    <col min="7535" max="7680" width="9.140625" style="2"/>
    <col min="7681" max="7790" width="0.85546875" style="2" customWidth="1"/>
    <col min="7791" max="7936" width="9.140625" style="2"/>
    <col min="7937" max="8046" width="0.85546875" style="2" customWidth="1"/>
    <col min="8047" max="8192" width="9.140625" style="2"/>
    <col min="8193" max="8302" width="0.85546875" style="2" customWidth="1"/>
    <col min="8303" max="8448" width="9.140625" style="2"/>
    <col min="8449" max="8558" width="0.85546875" style="2" customWidth="1"/>
    <col min="8559" max="8704" width="9.140625" style="2"/>
    <col min="8705" max="8814" width="0.85546875" style="2" customWidth="1"/>
    <col min="8815" max="8960" width="9.140625" style="2"/>
    <col min="8961" max="9070" width="0.85546875" style="2" customWidth="1"/>
    <col min="9071" max="9216" width="9.140625" style="2"/>
    <col min="9217" max="9326" width="0.85546875" style="2" customWidth="1"/>
    <col min="9327" max="9472" width="9.140625" style="2"/>
    <col min="9473" max="9582" width="0.85546875" style="2" customWidth="1"/>
    <col min="9583" max="9728" width="9.140625" style="2"/>
    <col min="9729" max="9838" width="0.85546875" style="2" customWidth="1"/>
    <col min="9839" max="9984" width="9.140625" style="2"/>
    <col min="9985" max="10094" width="0.85546875" style="2" customWidth="1"/>
    <col min="10095" max="10240" width="9.140625" style="2"/>
    <col min="10241" max="10350" width="0.85546875" style="2" customWidth="1"/>
    <col min="10351" max="10496" width="9.140625" style="2"/>
    <col min="10497" max="10606" width="0.85546875" style="2" customWidth="1"/>
    <col min="10607" max="10752" width="9.140625" style="2"/>
    <col min="10753" max="10862" width="0.85546875" style="2" customWidth="1"/>
    <col min="10863" max="11008" width="9.140625" style="2"/>
    <col min="11009" max="11118" width="0.85546875" style="2" customWidth="1"/>
    <col min="11119" max="11264" width="9.140625" style="2"/>
    <col min="11265" max="11374" width="0.85546875" style="2" customWidth="1"/>
    <col min="11375" max="11520" width="9.140625" style="2"/>
    <col min="11521" max="11630" width="0.85546875" style="2" customWidth="1"/>
    <col min="11631" max="11776" width="9.140625" style="2"/>
    <col min="11777" max="11886" width="0.85546875" style="2" customWidth="1"/>
    <col min="11887" max="12032" width="9.140625" style="2"/>
    <col min="12033" max="12142" width="0.85546875" style="2" customWidth="1"/>
    <col min="12143" max="12288" width="9.140625" style="2"/>
    <col min="12289" max="12398" width="0.85546875" style="2" customWidth="1"/>
    <col min="12399" max="12544" width="9.140625" style="2"/>
    <col min="12545" max="12654" width="0.85546875" style="2" customWidth="1"/>
    <col min="12655" max="12800" width="9.140625" style="2"/>
    <col min="12801" max="12910" width="0.85546875" style="2" customWidth="1"/>
    <col min="12911" max="13056" width="9.140625" style="2"/>
    <col min="13057" max="13166" width="0.85546875" style="2" customWidth="1"/>
    <col min="13167" max="13312" width="9.140625" style="2"/>
    <col min="13313" max="13422" width="0.85546875" style="2" customWidth="1"/>
    <col min="13423" max="13568" width="9.140625" style="2"/>
    <col min="13569" max="13678" width="0.85546875" style="2" customWidth="1"/>
    <col min="13679" max="13824" width="9.140625" style="2"/>
    <col min="13825" max="13934" width="0.85546875" style="2" customWidth="1"/>
    <col min="13935" max="14080" width="9.140625" style="2"/>
    <col min="14081" max="14190" width="0.85546875" style="2" customWidth="1"/>
    <col min="14191" max="14336" width="9.140625" style="2"/>
    <col min="14337" max="14446" width="0.85546875" style="2" customWidth="1"/>
    <col min="14447" max="14592" width="9.140625" style="2"/>
    <col min="14593" max="14702" width="0.85546875" style="2" customWidth="1"/>
    <col min="14703" max="14848" width="9.140625" style="2"/>
    <col min="14849" max="14958" width="0.85546875" style="2" customWidth="1"/>
    <col min="14959" max="15104" width="9.140625" style="2"/>
    <col min="15105" max="15214" width="0.85546875" style="2" customWidth="1"/>
    <col min="15215" max="15360" width="9.140625" style="2"/>
    <col min="15361" max="15470" width="0.85546875" style="2" customWidth="1"/>
    <col min="15471" max="15616" width="9.140625" style="2"/>
    <col min="15617" max="15726" width="0.85546875" style="2" customWidth="1"/>
    <col min="15727" max="15872" width="9.140625" style="2"/>
    <col min="15873" max="15982" width="0.85546875" style="2" customWidth="1"/>
    <col min="15983" max="16128" width="9.140625" style="2"/>
    <col min="16129" max="16238" width="0.85546875" style="2" customWidth="1"/>
    <col min="16239" max="16384" width="9.140625" style="2"/>
  </cols>
  <sheetData>
    <row r="1" spans="1:110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</row>
    <row r="2" spans="1:110" x14ac:dyDescent="0.2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</row>
    <row r="3" spans="1:110" x14ac:dyDescent="0.2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4"/>
      <c r="BR3" s="4"/>
      <c r="BS3" s="1"/>
      <c r="BT3" s="1"/>
      <c r="BU3" s="1"/>
      <c r="BV3" s="1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1"/>
    </row>
    <row r="4" spans="1:110" ht="12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1"/>
    </row>
    <row r="5" spans="1:110" ht="12" customHeight="1" x14ac:dyDescent="0.2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34" t="s">
        <v>0</v>
      </c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</row>
    <row r="6" spans="1:110" ht="12" customHeight="1" x14ac:dyDescent="0.2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35" t="s">
        <v>1</v>
      </c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</row>
    <row r="7" spans="1:110" ht="12" customHeight="1" x14ac:dyDescent="0.2">
      <c r="A7" s="36" t="s">
        <v>2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</row>
    <row r="8" spans="1:110" ht="12" customHeight="1" x14ac:dyDescent="0.2">
      <c r="A8" s="5"/>
      <c r="B8" s="37" t="s">
        <v>3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8"/>
      <c r="U8" s="39" t="s">
        <v>125</v>
      </c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1"/>
      <c r="BD8" s="6"/>
      <c r="BE8" s="37" t="s">
        <v>4</v>
      </c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8"/>
      <c r="BT8" s="39" t="s">
        <v>128</v>
      </c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1"/>
      <c r="CO8" s="42" t="s">
        <v>5</v>
      </c>
      <c r="CP8" s="42"/>
      <c r="CQ8" s="42"/>
      <c r="CR8" s="42"/>
      <c r="CS8" s="42"/>
      <c r="CT8" s="42"/>
      <c r="CU8" s="43">
        <v>45945</v>
      </c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</row>
    <row r="9" spans="1:110" ht="12" customHeight="1" x14ac:dyDescent="0.2">
      <c r="A9" s="5"/>
      <c r="B9" s="37" t="s">
        <v>124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8"/>
      <c r="U9" s="39" t="s">
        <v>129</v>
      </c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1"/>
      <c r="BD9" s="6"/>
      <c r="BE9" s="37" t="s">
        <v>5</v>
      </c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8"/>
      <c r="BT9" s="49">
        <v>45936</v>
      </c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1"/>
    </row>
    <row r="10" spans="1:110" ht="12" customHeight="1" x14ac:dyDescent="0.2">
      <c r="A10" s="5"/>
      <c r="B10" s="37" t="s">
        <v>7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8"/>
      <c r="U10" s="39" t="s">
        <v>6</v>
      </c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1"/>
      <c r="BD10" s="6"/>
      <c r="BE10" s="37" t="s">
        <v>8</v>
      </c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8"/>
      <c r="BT10" s="39" t="s">
        <v>136</v>
      </c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1"/>
    </row>
    <row r="11" spans="1:110" ht="12" customHeight="1" x14ac:dyDescent="0.2">
      <c r="A11" s="5"/>
      <c r="B11" s="37" t="s">
        <v>9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8"/>
      <c r="U11" s="39" t="s">
        <v>10</v>
      </c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1"/>
      <c r="BD11" s="6"/>
      <c r="BE11" s="37" t="s">
        <v>11</v>
      </c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8"/>
      <c r="BT11" s="39" t="s">
        <v>12</v>
      </c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1"/>
    </row>
    <row r="12" spans="1:110" ht="12" customHeight="1" x14ac:dyDescent="0.2">
      <c r="A12" s="5"/>
      <c r="B12" s="37" t="s">
        <v>13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8"/>
      <c r="U12" s="45" t="s">
        <v>119</v>
      </c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1"/>
      <c r="BD12" s="6"/>
      <c r="BE12" s="37" t="s">
        <v>14</v>
      </c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8"/>
      <c r="BT12" s="46" t="s">
        <v>127</v>
      </c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8"/>
    </row>
    <row r="13" spans="1:110" x14ac:dyDescent="0.2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</row>
    <row r="14" spans="1:110" x14ac:dyDescent="0.2">
      <c r="A14" s="51" t="s">
        <v>15</v>
      </c>
      <c r="B14" s="51"/>
      <c r="C14" s="51"/>
      <c r="D14" s="51"/>
      <c r="E14" s="42" t="s">
        <v>16</v>
      </c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52" t="s">
        <v>17</v>
      </c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3" t="s">
        <v>18</v>
      </c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42" t="s">
        <v>19</v>
      </c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 t="s">
        <v>20</v>
      </c>
      <c r="CE14" s="42"/>
      <c r="CF14" s="42"/>
      <c r="CG14" s="42"/>
      <c r="CH14" s="42"/>
      <c r="CI14" s="42" t="s">
        <v>21</v>
      </c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53" t="s">
        <v>22</v>
      </c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</row>
    <row r="15" spans="1:110" ht="12" customHeight="1" x14ac:dyDescent="0.2">
      <c r="A15" s="52" t="s">
        <v>23</v>
      </c>
      <c r="B15" s="52"/>
      <c r="C15" s="52"/>
      <c r="D15" s="5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53" t="s">
        <v>24</v>
      </c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 t="s">
        <v>25</v>
      </c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42" t="s">
        <v>26</v>
      </c>
      <c r="AZ15" s="42"/>
      <c r="BA15" s="42"/>
      <c r="BB15" s="42"/>
      <c r="BC15" s="42"/>
      <c r="BD15" s="42"/>
      <c r="BE15" s="42"/>
      <c r="BF15" s="42"/>
      <c r="BG15" s="42" t="s">
        <v>27</v>
      </c>
      <c r="BH15" s="42"/>
      <c r="BI15" s="42"/>
      <c r="BJ15" s="42"/>
      <c r="BK15" s="42"/>
      <c r="BL15" s="42"/>
      <c r="BM15" s="42"/>
      <c r="BN15" s="42"/>
      <c r="BO15" s="42"/>
      <c r="BP15" s="42" t="s">
        <v>28</v>
      </c>
      <c r="BQ15" s="42"/>
      <c r="BR15" s="42"/>
      <c r="BS15" s="42"/>
      <c r="BT15" s="42"/>
      <c r="BU15" s="42"/>
      <c r="BV15" s="42"/>
      <c r="BW15" s="42" t="s">
        <v>29</v>
      </c>
      <c r="BX15" s="42"/>
      <c r="BY15" s="42"/>
      <c r="BZ15" s="42"/>
      <c r="CA15" s="42"/>
      <c r="CB15" s="42"/>
      <c r="CC15" s="42"/>
      <c r="CD15" s="42" t="s">
        <v>30</v>
      </c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</row>
    <row r="16" spans="1:110" ht="12" customHeight="1" x14ac:dyDescent="0.2">
      <c r="A16" s="54">
        <v>50</v>
      </c>
      <c r="B16" s="55"/>
      <c r="C16" s="55"/>
      <c r="D16" s="55"/>
      <c r="E16" s="56" t="s">
        <v>126</v>
      </c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 t="s">
        <v>31</v>
      </c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 t="s">
        <v>32</v>
      </c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 t="s">
        <v>130</v>
      </c>
      <c r="AZ16" s="56"/>
      <c r="BA16" s="56"/>
      <c r="BB16" s="56"/>
      <c r="BC16" s="56"/>
      <c r="BD16" s="56"/>
      <c r="BE16" s="56"/>
      <c r="BF16" s="56"/>
      <c r="BG16" s="56" t="s">
        <v>131</v>
      </c>
      <c r="BH16" s="56"/>
      <c r="BI16" s="56"/>
      <c r="BJ16" s="56"/>
      <c r="BK16" s="56"/>
      <c r="BL16" s="56"/>
      <c r="BM16" s="56"/>
      <c r="BN16" s="56"/>
      <c r="BO16" s="56"/>
      <c r="BP16" s="56" t="s">
        <v>6</v>
      </c>
      <c r="BQ16" s="56"/>
      <c r="BR16" s="56"/>
      <c r="BS16" s="56"/>
      <c r="BT16" s="56"/>
      <c r="BU16" s="56"/>
      <c r="BV16" s="56"/>
      <c r="BW16" s="56" t="s">
        <v>6</v>
      </c>
      <c r="BX16" s="56"/>
      <c r="BY16" s="56"/>
      <c r="BZ16" s="56"/>
      <c r="CA16" s="56"/>
      <c r="CB16" s="56"/>
      <c r="CC16" s="56"/>
      <c r="CD16" s="56">
        <v>1</v>
      </c>
      <c r="CE16" s="56"/>
      <c r="CF16" s="56"/>
      <c r="CG16" s="56"/>
      <c r="CH16" s="56"/>
      <c r="CI16" s="39" t="s">
        <v>122</v>
      </c>
      <c r="CJ16" s="40"/>
      <c r="CK16" s="40"/>
      <c r="CL16" s="40"/>
      <c r="CM16" s="40"/>
      <c r="CN16" s="40"/>
      <c r="CO16" s="40"/>
      <c r="CP16" s="40"/>
      <c r="CQ16" s="40"/>
      <c r="CR16" s="40"/>
      <c r="CS16" s="41"/>
      <c r="CT16" s="56" t="s">
        <v>123</v>
      </c>
      <c r="CU16" s="56"/>
      <c r="CV16" s="56"/>
      <c r="CW16" s="56"/>
      <c r="CX16" s="56"/>
      <c r="CY16" s="56"/>
      <c r="CZ16" s="56"/>
      <c r="DA16" s="56"/>
      <c r="DB16" s="56"/>
      <c r="DC16" s="56"/>
      <c r="DD16" s="56"/>
      <c r="DE16" s="56"/>
      <c r="DF16" s="56"/>
    </row>
    <row r="17" spans="1:112" ht="12" customHeight="1" x14ac:dyDescent="0.2">
      <c r="A17" s="57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39"/>
      <c r="CJ17" s="40"/>
      <c r="CK17" s="40"/>
      <c r="CL17" s="40"/>
      <c r="CM17" s="40"/>
      <c r="CN17" s="40"/>
      <c r="CO17" s="40"/>
      <c r="CP17" s="40"/>
      <c r="CQ17" s="40"/>
      <c r="CR17" s="40"/>
      <c r="CS17" s="41"/>
      <c r="CT17" s="56"/>
      <c r="CU17" s="56"/>
      <c r="CV17" s="56"/>
      <c r="CW17" s="56"/>
      <c r="CX17" s="56"/>
      <c r="CY17" s="56"/>
      <c r="CZ17" s="56"/>
      <c r="DA17" s="56"/>
      <c r="DB17" s="56"/>
      <c r="DC17" s="56"/>
      <c r="DD17" s="56"/>
      <c r="DE17" s="56"/>
      <c r="DF17" s="56"/>
    </row>
    <row r="18" spans="1:112" ht="12" customHeight="1" x14ac:dyDescent="0.2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39"/>
      <c r="CJ18" s="40"/>
      <c r="CK18" s="40"/>
      <c r="CL18" s="40"/>
      <c r="CM18" s="40"/>
      <c r="CN18" s="40"/>
      <c r="CO18" s="40"/>
      <c r="CP18" s="40"/>
      <c r="CQ18" s="40"/>
      <c r="CR18" s="40"/>
      <c r="CS18" s="41"/>
      <c r="CT18" s="56"/>
      <c r="CU18" s="56"/>
      <c r="CV18" s="56"/>
      <c r="CW18" s="56"/>
      <c r="CX18" s="56"/>
      <c r="CY18" s="56"/>
      <c r="CZ18" s="56"/>
      <c r="DA18" s="56"/>
      <c r="DB18" s="56"/>
      <c r="DC18" s="56"/>
      <c r="DD18" s="56"/>
      <c r="DE18" s="56"/>
      <c r="DF18" s="56"/>
    </row>
    <row r="19" spans="1:112" ht="12" customHeight="1" x14ac:dyDescent="0.2">
      <c r="A19" s="56"/>
      <c r="B19" s="56"/>
      <c r="C19" s="56"/>
      <c r="D19" s="56"/>
      <c r="E19" s="39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1"/>
      <c r="AA19" s="39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1"/>
      <c r="AM19" s="39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1"/>
      <c r="AY19" s="39"/>
      <c r="AZ19" s="40"/>
      <c r="BA19" s="40"/>
      <c r="BB19" s="40"/>
      <c r="BC19" s="40"/>
      <c r="BD19" s="40"/>
      <c r="BE19" s="40"/>
      <c r="BF19" s="41"/>
      <c r="BG19" s="39"/>
      <c r="BH19" s="40"/>
      <c r="BI19" s="40"/>
      <c r="BJ19" s="40"/>
      <c r="BK19" s="40"/>
      <c r="BL19" s="40"/>
      <c r="BM19" s="40"/>
      <c r="BN19" s="40"/>
      <c r="BO19" s="41"/>
      <c r="BP19" s="39"/>
      <c r="BQ19" s="40"/>
      <c r="BR19" s="40"/>
      <c r="BS19" s="40"/>
      <c r="BT19" s="40"/>
      <c r="BU19" s="40"/>
      <c r="BV19" s="41"/>
      <c r="BW19" s="39"/>
      <c r="BX19" s="40"/>
      <c r="BY19" s="40"/>
      <c r="BZ19" s="40"/>
      <c r="CA19" s="40"/>
      <c r="CB19" s="40"/>
      <c r="CC19" s="41"/>
      <c r="CD19" s="39"/>
      <c r="CE19" s="40"/>
      <c r="CF19" s="40"/>
      <c r="CG19" s="40"/>
      <c r="CH19" s="41"/>
      <c r="CI19" s="39"/>
      <c r="CJ19" s="40"/>
      <c r="CK19" s="40"/>
      <c r="CL19" s="40"/>
      <c r="CM19" s="40"/>
      <c r="CN19" s="40"/>
      <c r="CO19" s="40"/>
      <c r="CP19" s="40"/>
      <c r="CQ19" s="40"/>
      <c r="CR19" s="40"/>
      <c r="CS19" s="41"/>
      <c r="CT19" s="39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1"/>
    </row>
    <row r="20" spans="1:112" x14ac:dyDescent="0.2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</row>
    <row r="21" spans="1:112" ht="12" customHeight="1" x14ac:dyDescent="0.2">
      <c r="A21" s="59" t="s">
        <v>33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0"/>
      <c r="BU21" s="60"/>
      <c r="BV21" s="60"/>
      <c r="BW21" s="60"/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0"/>
      <c r="CO21" s="60"/>
      <c r="CP21" s="60"/>
      <c r="CQ21" s="60"/>
      <c r="CR21" s="60"/>
      <c r="CS21" s="60"/>
      <c r="CT21" s="60"/>
      <c r="CU21" s="60"/>
      <c r="CV21" s="60"/>
      <c r="CW21" s="60"/>
      <c r="CX21" s="60"/>
      <c r="CY21" s="60"/>
      <c r="CZ21" s="60"/>
      <c r="DA21" s="60"/>
      <c r="DB21" s="60"/>
      <c r="DC21" s="60"/>
      <c r="DD21" s="60"/>
      <c r="DE21" s="60"/>
      <c r="DF21" s="61"/>
    </row>
    <row r="22" spans="1:112" ht="12" customHeight="1" x14ac:dyDescent="0.2">
      <c r="A22" s="51" t="s">
        <v>34</v>
      </c>
      <c r="B22" s="51"/>
      <c r="C22" s="51"/>
      <c r="D22" s="51"/>
      <c r="E22" s="42" t="s">
        <v>21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 t="s">
        <v>35</v>
      </c>
      <c r="Q22" s="42"/>
      <c r="R22" s="42"/>
      <c r="S22" s="42"/>
      <c r="T22" s="42" t="s">
        <v>36</v>
      </c>
      <c r="U22" s="42"/>
      <c r="V22" s="42"/>
      <c r="W22" s="42"/>
      <c r="X22" s="42"/>
      <c r="Y22" s="42"/>
      <c r="Z22" s="42" t="s">
        <v>37</v>
      </c>
      <c r="AA22" s="42"/>
      <c r="AB22" s="42"/>
      <c r="AC22" s="42"/>
      <c r="AD22" s="42"/>
      <c r="AE22" s="42"/>
      <c r="AF22" s="42" t="s">
        <v>38</v>
      </c>
      <c r="AG22" s="42"/>
      <c r="AH22" s="42"/>
      <c r="AI22" s="42"/>
      <c r="AJ22" s="42"/>
      <c r="AK22" s="42"/>
      <c r="AL22" s="42" t="s">
        <v>39</v>
      </c>
      <c r="AM22" s="42"/>
      <c r="AN22" s="42"/>
      <c r="AO22" s="42"/>
      <c r="AP22" s="42"/>
      <c r="AQ22" s="42"/>
      <c r="AR22" s="42" t="s">
        <v>40</v>
      </c>
      <c r="AS22" s="42"/>
      <c r="AT22" s="42"/>
      <c r="AU22" s="42"/>
      <c r="AV22" s="42"/>
      <c r="AW22" s="42"/>
      <c r="AX22" s="42" t="s">
        <v>41</v>
      </c>
      <c r="AY22" s="42"/>
      <c r="AZ22" s="42"/>
      <c r="BA22" s="42"/>
      <c r="BB22" s="42"/>
      <c r="BC22" s="42"/>
      <c r="BD22" s="42" t="s">
        <v>42</v>
      </c>
      <c r="BE22" s="42"/>
      <c r="BF22" s="42"/>
      <c r="BG22" s="42"/>
      <c r="BH22" s="42"/>
      <c r="BI22" s="42"/>
      <c r="BJ22" s="69" t="s">
        <v>43</v>
      </c>
      <c r="BK22" s="70"/>
      <c r="BL22" s="70"/>
      <c r="BM22" s="70"/>
      <c r="BN22" s="70"/>
      <c r="BO22" s="71"/>
      <c r="BP22" s="42" t="s">
        <v>44</v>
      </c>
      <c r="BQ22" s="42"/>
      <c r="BR22" s="42"/>
      <c r="BS22" s="42"/>
      <c r="BT22" s="42"/>
      <c r="BU22" s="42"/>
      <c r="BV22" s="42" t="s">
        <v>45</v>
      </c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 t="s">
        <v>46</v>
      </c>
      <c r="CU22" s="42"/>
      <c r="CV22" s="42"/>
      <c r="CW22" s="42"/>
      <c r="CX22" s="42"/>
      <c r="CY22" s="42"/>
      <c r="CZ22" s="42" t="s">
        <v>47</v>
      </c>
      <c r="DA22" s="42"/>
      <c r="DB22" s="42"/>
      <c r="DC22" s="42"/>
      <c r="DD22" s="42"/>
      <c r="DE22" s="42"/>
      <c r="DF22" s="42"/>
    </row>
    <row r="23" spans="1:112" ht="12" customHeight="1" x14ac:dyDescent="0.2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62" t="s">
        <v>48</v>
      </c>
      <c r="Q23" s="62"/>
      <c r="R23" s="62"/>
      <c r="S23" s="62"/>
      <c r="T23" s="63" t="s">
        <v>49</v>
      </c>
      <c r="U23" s="64"/>
      <c r="V23" s="64"/>
      <c r="W23" s="64"/>
      <c r="X23" s="64"/>
      <c r="Y23" s="65"/>
      <c r="Z23" s="66">
        <v>0.28999999999999998</v>
      </c>
      <c r="AA23" s="67"/>
      <c r="AB23" s="67"/>
      <c r="AC23" s="67"/>
      <c r="AD23" s="67"/>
      <c r="AE23" s="68"/>
      <c r="AF23" s="63" t="s">
        <v>49</v>
      </c>
      <c r="AG23" s="64"/>
      <c r="AH23" s="64"/>
      <c r="AI23" s="64"/>
      <c r="AJ23" s="64"/>
      <c r="AK23" s="65"/>
      <c r="AL23" s="63" t="s">
        <v>49</v>
      </c>
      <c r="AM23" s="64"/>
      <c r="AN23" s="64"/>
      <c r="AO23" s="64"/>
      <c r="AP23" s="64"/>
      <c r="AQ23" s="65"/>
      <c r="AR23" s="66">
        <v>0.1</v>
      </c>
      <c r="AS23" s="67"/>
      <c r="AT23" s="67"/>
      <c r="AU23" s="67"/>
      <c r="AV23" s="67"/>
      <c r="AW23" s="68"/>
      <c r="AX23" s="63" t="s">
        <v>49</v>
      </c>
      <c r="AY23" s="64"/>
      <c r="AZ23" s="64"/>
      <c r="BA23" s="64"/>
      <c r="BB23" s="64"/>
      <c r="BC23" s="65"/>
      <c r="BD23" s="63" t="s">
        <v>49</v>
      </c>
      <c r="BE23" s="64"/>
      <c r="BF23" s="64"/>
      <c r="BG23" s="64"/>
      <c r="BH23" s="64"/>
      <c r="BI23" s="65"/>
      <c r="BJ23" s="63" t="s">
        <v>49</v>
      </c>
      <c r="BK23" s="64"/>
      <c r="BL23" s="64"/>
      <c r="BM23" s="64"/>
      <c r="BN23" s="64"/>
      <c r="BO23" s="65"/>
      <c r="BP23" s="63" t="s">
        <v>49</v>
      </c>
      <c r="BQ23" s="64"/>
      <c r="BR23" s="64"/>
      <c r="BS23" s="64"/>
      <c r="BT23" s="64"/>
      <c r="BU23" s="65"/>
      <c r="BV23" s="63" t="s">
        <v>49</v>
      </c>
      <c r="BW23" s="64"/>
      <c r="BX23" s="64"/>
      <c r="BY23" s="64"/>
      <c r="BZ23" s="64"/>
      <c r="CA23" s="65"/>
      <c r="CB23" s="63"/>
      <c r="CC23" s="64"/>
      <c r="CD23" s="64"/>
      <c r="CE23" s="64"/>
      <c r="CF23" s="64"/>
      <c r="CG23" s="65"/>
      <c r="CH23" s="66"/>
      <c r="CI23" s="67"/>
      <c r="CJ23" s="67"/>
      <c r="CK23" s="67"/>
      <c r="CL23" s="67"/>
      <c r="CM23" s="68"/>
      <c r="CN23" s="63"/>
      <c r="CO23" s="64"/>
      <c r="CP23" s="64"/>
      <c r="CQ23" s="64"/>
      <c r="CR23" s="64"/>
      <c r="CS23" s="65"/>
      <c r="CT23" s="63" t="s">
        <v>49</v>
      </c>
      <c r="CU23" s="64"/>
      <c r="CV23" s="64"/>
      <c r="CW23" s="64"/>
      <c r="CX23" s="64"/>
      <c r="CY23" s="65"/>
      <c r="CZ23" s="63" t="s">
        <v>49</v>
      </c>
      <c r="DA23" s="64"/>
      <c r="DB23" s="64"/>
      <c r="DC23" s="64"/>
      <c r="DD23" s="64"/>
      <c r="DE23" s="64"/>
      <c r="DF23" s="65"/>
    </row>
    <row r="24" spans="1:112" ht="12" customHeight="1" x14ac:dyDescent="0.2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62" t="s">
        <v>50</v>
      </c>
      <c r="Q24" s="62"/>
      <c r="R24" s="62"/>
      <c r="S24" s="62"/>
      <c r="T24" s="66">
        <v>0.3</v>
      </c>
      <c r="U24" s="67"/>
      <c r="V24" s="67"/>
      <c r="W24" s="67"/>
      <c r="X24" s="67"/>
      <c r="Y24" s="68"/>
      <c r="Z24" s="66">
        <v>1.06</v>
      </c>
      <c r="AA24" s="67"/>
      <c r="AB24" s="67"/>
      <c r="AC24" s="67"/>
      <c r="AD24" s="67"/>
      <c r="AE24" s="68"/>
      <c r="AF24" s="72">
        <v>0.05</v>
      </c>
      <c r="AG24" s="73"/>
      <c r="AH24" s="73"/>
      <c r="AI24" s="73"/>
      <c r="AJ24" s="73"/>
      <c r="AK24" s="74"/>
      <c r="AL24" s="72">
        <v>5.8000000000000003E-2</v>
      </c>
      <c r="AM24" s="73"/>
      <c r="AN24" s="73"/>
      <c r="AO24" s="73"/>
      <c r="AP24" s="73"/>
      <c r="AQ24" s="74"/>
      <c r="AR24" s="63" t="s">
        <v>49</v>
      </c>
      <c r="AS24" s="64"/>
      <c r="AT24" s="64"/>
      <c r="AU24" s="64"/>
      <c r="AV24" s="64"/>
      <c r="AW24" s="65"/>
      <c r="AX24" s="66">
        <v>0.4</v>
      </c>
      <c r="AY24" s="67"/>
      <c r="AZ24" s="67"/>
      <c r="BA24" s="67"/>
      <c r="BB24" s="67"/>
      <c r="BC24" s="68"/>
      <c r="BD24" s="66">
        <v>0.15</v>
      </c>
      <c r="BE24" s="67"/>
      <c r="BF24" s="67"/>
      <c r="BG24" s="67"/>
      <c r="BH24" s="67"/>
      <c r="BI24" s="68"/>
      <c r="BJ24" s="66">
        <v>0.4</v>
      </c>
      <c r="BK24" s="67"/>
      <c r="BL24" s="67"/>
      <c r="BM24" s="67"/>
      <c r="BN24" s="67"/>
      <c r="BO24" s="68"/>
      <c r="BP24" s="66">
        <v>0.4</v>
      </c>
      <c r="BQ24" s="67"/>
      <c r="BR24" s="67"/>
      <c r="BS24" s="67"/>
      <c r="BT24" s="67"/>
      <c r="BU24" s="68"/>
      <c r="BV24" s="66">
        <v>0.08</v>
      </c>
      <c r="BW24" s="67"/>
      <c r="BX24" s="67"/>
      <c r="BY24" s="67"/>
      <c r="BZ24" s="67"/>
      <c r="CA24" s="68"/>
      <c r="CB24" s="66"/>
      <c r="CC24" s="67"/>
      <c r="CD24" s="67"/>
      <c r="CE24" s="67"/>
      <c r="CF24" s="67"/>
      <c r="CG24" s="68"/>
      <c r="CH24" s="66"/>
      <c r="CI24" s="67"/>
      <c r="CJ24" s="67"/>
      <c r="CK24" s="67"/>
      <c r="CL24" s="67"/>
      <c r="CM24" s="68"/>
      <c r="CN24" s="66"/>
      <c r="CO24" s="67"/>
      <c r="CP24" s="67"/>
      <c r="CQ24" s="67"/>
      <c r="CR24" s="67"/>
      <c r="CS24" s="68"/>
      <c r="CT24" s="66">
        <v>1</v>
      </c>
      <c r="CU24" s="67"/>
      <c r="CV24" s="67"/>
      <c r="CW24" s="67"/>
      <c r="CX24" s="67"/>
      <c r="CY24" s="68"/>
      <c r="CZ24" s="66">
        <v>0.5</v>
      </c>
      <c r="DA24" s="67"/>
      <c r="DB24" s="67"/>
      <c r="DC24" s="67"/>
      <c r="DD24" s="67"/>
      <c r="DE24" s="67"/>
      <c r="DF24" s="68"/>
    </row>
    <row r="25" spans="1:112" ht="12" customHeight="1" x14ac:dyDescent="0.2">
      <c r="A25" s="56">
        <f>A16</f>
        <v>50</v>
      </c>
      <c r="B25" s="56"/>
      <c r="C25" s="56"/>
      <c r="D25" s="56"/>
      <c r="E25" s="44" t="str">
        <f>CI16</f>
        <v>N480</v>
      </c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56" t="s">
        <v>51</v>
      </c>
      <c r="Q25" s="56"/>
      <c r="R25" s="56"/>
      <c r="S25" s="56"/>
      <c r="T25" s="75">
        <v>0.16</v>
      </c>
      <c r="U25" s="76"/>
      <c r="V25" s="76"/>
      <c r="W25" s="76"/>
      <c r="X25" s="76"/>
      <c r="Y25" s="77"/>
      <c r="Z25" s="75">
        <v>0.61</v>
      </c>
      <c r="AA25" s="76"/>
      <c r="AB25" s="76"/>
      <c r="AC25" s="76"/>
      <c r="AD25" s="76"/>
      <c r="AE25" s="77"/>
      <c r="AF25" s="78">
        <v>1.9E-2</v>
      </c>
      <c r="AG25" s="79"/>
      <c r="AH25" s="79"/>
      <c r="AI25" s="79"/>
      <c r="AJ25" s="79"/>
      <c r="AK25" s="80"/>
      <c r="AL25" s="78">
        <v>1.4E-2</v>
      </c>
      <c r="AM25" s="79"/>
      <c r="AN25" s="79"/>
      <c r="AO25" s="79"/>
      <c r="AP25" s="79"/>
      <c r="AQ25" s="80"/>
      <c r="AR25" s="46">
        <v>0.18</v>
      </c>
      <c r="AS25" s="47"/>
      <c r="AT25" s="47"/>
      <c r="AU25" s="47"/>
      <c r="AV25" s="47"/>
      <c r="AW25" s="48"/>
      <c r="AX25" s="78">
        <v>0.12</v>
      </c>
      <c r="AY25" s="79"/>
      <c r="AZ25" s="79"/>
      <c r="BA25" s="79"/>
      <c r="BB25" s="79"/>
      <c r="BC25" s="80"/>
      <c r="BD25" s="78">
        <v>5.3999999999999999E-2</v>
      </c>
      <c r="BE25" s="79"/>
      <c r="BF25" s="79"/>
      <c r="BG25" s="79"/>
      <c r="BH25" s="79"/>
      <c r="BI25" s="80"/>
      <c r="BJ25" s="78">
        <v>6.9000000000000006E-2</v>
      </c>
      <c r="BK25" s="79"/>
      <c r="BL25" s="79"/>
      <c r="BM25" s="79"/>
      <c r="BN25" s="79"/>
      <c r="BO25" s="80"/>
      <c r="BP25" s="78">
        <v>6.0999999999999999E-2</v>
      </c>
      <c r="BQ25" s="79"/>
      <c r="BR25" s="79"/>
      <c r="BS25" s="79"/>
      <c r="BT25" s="79"/>
      <c r="BU25" s="80"/>
      <c r="BV25" s="78">
        <v>2E-3</v>
      </c>
      <c r="BW25" s="79"/>
      <c r="BX25" s="79"/>
      <c r="BY25" s="79"/>
      <c r="BZ25" s="79"/>
      <c r="CA25" s="80"/>
      <c r="CB25" s="85"/>
      <c r="CC25" s="86"/>
      <c r="CD25" s="86"/>
      <c r="CE25" s="86"/>
      <c r="CF25" s="86"/>
      <c r="CG25" s="87"/>
      <c r="CH25" s="81"/>
      <c r="CI25" s="82"/>
      <c r="CJ25" s="82"/>
      <c r="CK25" s="82"/>
      <c r="CL25" s="82"/>
      <c r="CM25" s="83"/>
      <c r="CN25" s="81"/>
      <c r="CO25" s="82"/>
      <c r="CP25" s="82"/>
      <c r="CQ25" s="82"/>
      <c r="CR25" s="82"/>
      <c r="CS25" s="83"/>
      <c r="CT25" s="84">
        <f>AX25+BD25+BJ25+BP25</f>
        <v>0.30399999999999999</v>
      </c>
      <c r="CU25" s="84"/>
      <c r="CV25" s="84"/>
      <c r="CW25" s="84"/>
      <c r="CX25" s="84"/>
      <c r="CY25" s="84"/>
      <c r="CZ25" s="75">
        <f t="shared" ref="CZ25:CZ26" si="0">SUM((T25)+(Z25/6)+((AX25+BD25+BV25)/5)+((BJ25+BP25)/15))</f>
        <v>0.30553333333333332</v>
      </c>
      <c r="DA25" s="76"/>
      <c r="DB25" s="76"/>
      <c r="DC25" s="76"/>
      <c r="DD25" s="76"/>
      <c r="DE25" s="76"/>
      <c r="DF25" s="77"/>
      <c r="DH25" s="7"/>
    </row>
    <row r="26" spans="1:112" ht="12" customHeight="1" x14ac:dyDescent="0.2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 t="s">
        <v>38</v>
      </c>
      <c r="Q26" s="56"/>
      <c r="R26" s="56"/>
      <c r="S26" s="56"/>
      <c r="T26" s="75">
        <v>0.15</v>
      </c>
      <c r="U26" s="76"/>
      <c r="V26" s="76"/>
      <c r="W26" s="76"/>
      <c r="X26" s="76"/>
      <c r="Y26" s="77"/>
      <c r="Z26" s="75">
        <v>0.6</v>
      </c>
      <c r="AA26" s="76"/>
      <c r="AB26" s="76"/>
      <c r="AC26" s="76"/>
      <c r="AD26" s="76"/>
      <c r="AE26" s="77"/>
      <c r="AF26" s="78">
        <v>1.7999999999999999E-2</v>
      </c>
      <c r="AG26" s="79"/>
      <c r="AH26" s="79"/>
      <c r="AI26" s="79"/>
      <c r="AJ26" s="79"/>
      <c r="AK26" s="80"/>
      <c r="AL26" s="78">
        <v>1.2999999999999999E-2</v>
      </c>
      <c r="AM26" s="79"/>
      <c r="AN26" s="79"/>
      <c r="AO26" s="79"/>
      <c r="AP26" s="79"/>
      <c r="AQ26" s="80"/>
      <c r="AR26" s="75">
        <v>0.17</v>
      </c>
      <c r="AS26" s="76"/>
      <c r="AT26" s="76"/>
      <c r="AU26" s="76"/>
      <c r="AV26" s="76"/>
      <c r="AW26" s="77"/>
      <c r="AX26" s="78">
        <v>0.13</v>
      </c>
      <c r="AY26" s="79"/>
      <c r="AZ26" s="79"/>
      <c r="BA26" s="79"/>
      <c r="BB26" s="79"/>
      <c r="BC26" s="80"/>
      <c r="BD26" s="78">
        <v>5.5E-2</v>
      </c>
      <c r="BE26" s="79"/>
      <c r="BF26" s="79"/>
      <c r="BG26" s="79"/>
      <c r="BH26" s="79"/>
      <c r="BI26" s="80"/>
      <c r="BJ26" s="78">
        <v>6.8000000000000005E-2</v>
      </c>
      <c r="BK26" s="79"/>
      <c r="BL26" s="79"/>
      <c r="BM26" s="79"/>
      <c r="BN26" s="79"/>
      <c r="BO26" s="80"/>
      <c r="BP26" s="78">
        <v>0.06</v>
      </c>
      <c r="BQ26" s="79"/>
      <c r="BR26" s="79"/>
      <c r="BS26" s="79"/>
      <c r="BT26" s="79"/>
      <c r="BU26" s="80"/>
      <c r="BV26" s="78">
        <v>2E-3</v>
      </c>
      <c r="BW26" s="79"/>
      <c r="BX26" s="79"/>
      <c r="BY26" s="79"/>
      <c r="BZ26" s="79"/>
      <c r="CA26" s="80"/>
      <c r="CB26" s="85"/>
      <c r="CC26" s="86"/>
      <c r="CD26" s="86"/>
      <c r="CE26" s="86"/>
      <c r="CF26" s="86"/>
      <c r="CG26" s="87"/>
      <c r="CH26" s="81"/>
      <c r="CI26" s="82"/>
      <c r="CJ26" s="82"/>
      <c r="CK26" s="82"/>
      <c r="CL26" s="82"/>
      <c r="CM26" s="83"/>
      <c r="CN26" s="81"/>
      <c r="CO26" s="82"/>
      <c r="CP26" s="82"/>
      <c r="CQ26" s="82"/>
      <c r="CR26" s="82"/>
      <c r="CS26" s="83"/>
      <c r="CT26" s="84">
        <f t="shared" ref="CT26" si="1">AX26+BD26+BJ26+BP26</f>
        <v>0.313</v>
      </c>
      <c r="CU26" s="84"/>
      <c r="CV26" s="84"/>
      <c r="CW26" s="84"/>
      <c r="CX26" s="84"/>
      <c r="CY26" s="84"/>
      <c r="CZ26" s="75">
        <f t="shared" si="0"/>
        <v>0.29593333333333333</v>
      </c>
      <c r="DA26" s="76"/>
      <c r="DB26" s="76"/>
      <c r="DC26" s="76"/>
      <c r="DD26" s="76"/>
      <c r="DE26" s="76"/>
      <c r="DF26" s="77"/>
      <c r="DH26" s="7"/>
    </row>
    <row r="27" spans="1:112" ht="12" customHeight="1" x14ac:dyDescent="0.2">
      <c r="A27" s="88"/>
      <c r="B27" s="56"/>
      <c r="C27" s="56"/>
      <c r="D27" s="56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56"/>
      <c r="Q27" s="56"/>
      <c r="R27" s="56"/>
      <c r="S27" s="56"/>
      <c r="T27" s="75"/>
      <c r="U27" s="76"/>
      <c r="V27" s="76"/>
      <c r="W27" s="76"/>
      <c r="X27" s="76"/>
      <c r="Y27" s="77"/>
      <c r="Z27" s="75"/>
      <c r="AA27" s="76"/>
      <c r="AB27" s="76"/>
      <c r="AC27" s="76"/>
      <c r="AD27" s="76"/>
      <c r="AE27" s="77"/>
      <c r="AF27" s="78"/>
      <c r="AG27" s="79"/>
      <c r="AH27" s="79"/>
      <c r="AI27" s="79"/>
      <c r="AJ27" s="79"/>
      <c r="AK27" s="80"/>
      <c r="AL27" s="78"/>
      <c r="AM27" s="79"/>
      <c r="AN27" s="79"/>
      <c r="AO27" s="79"/>
      <c r="AP27" s="79"/>
      <c r="AQ27" s="80"/>
      <c r="AR27" s="46"/>
      <c r="AS27" s="47"/>
      <c r="AT27" s="47"/>
      <c r="AU27" s="47"/>
      <c r="AV27" s="47"/>
      <c r="AW27" s="48"/>
      <c r="AX27" s="78"/>
      <c r="AY27" s="79"/>
      <c r="AZ27" s="79"/>
      <c r="BA27" s="79"/>
      <c r="BB27" s="79"/>
      <c r="BC27" s="80"/>
      <c r="BD27" s="78"/>
      <c r="BE27" s="79"/>
      <c r="BF27" s="79"/>
      <c r="BG27" s="79"/>
      <c r="BH27" s="79"/>
      <c r="BI27" s="80"/>
      <c r="BJ27" s="78"/>
      <c r="BK27" s="79"/>
      <c r="BL27" s="79"/>
      <c r="BM27" s="79"/>
      <c r="BN27" s="79"/>
      <c r="BO27" s="80"/>
      <c r="BP27" s="78"/>
      <c r="BQ27" s="79"/>
      <c r="BR27" s="79"/>
      <c r="BS27" s="79"/>
      <c r="BT27" s="79"/>
      <c r="BU27" s="80"/>
      <c r="BV27" s="78"/>
      <c r="BW27" s="79"/>
      <c r="BX27" s="79"/>
      <c r="BY27" s="79"/>
      <c r="BZ27" s="79"/>
      <c r="CA27" s="80"/>
      <c r="CB27" s="85"/>
      <c r="CC27" s="86"/>
      <c r="CD27" s="86"/>
      <c r="CE27" s="86"/>
      <c r="CF27" s="86"/>
      <c r="CG27" s="87"/>
      <c r="CH27" s="81"/>
      <c r="CI27" s="82"/>
      <c r="CJ27" s="82"/>
      <c r="CK27" s="82"/>
      <c r="CL27" s="82"/>
      <c r="CM27" s="83"/>
      <c r="CN27" s="81"/>
      <c r="CO27" s="82"/>
      <c r="CP27" s="82"/>
      <c r="CQ27" s="82"/>
      <c r="CR27" s="82"/>
      <c r="CS27" s="83"/>
      <c r="CT27" s="84"/>
      <c r="CU27" s="84"/>
      <c r="CV27" s="84"/>
      <c r="CW27" s="84"/>
      <c r="CX27" s="84"/>
      <c r="CY27" s="84"/>
      <c r="CZ27" s="75"/>
      <c r="DA27" s="76"/>
      <c r="DB27" s="76"/>
      <c r="DC27" s="76"/>
      <c r="DD27" s="76"/>
      <c r="DE27" s="76"/>
      <c r="DF27" s="77"/>
      <c r="DH27" s="7"/>
    </row>
    <row r="28" spans="1:112" ht="12" customHeight="1" x14ac:dyDescent="0.2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75"/>
      <c r="U28" s="76"/>
      <c r="V28" s="76"/>
      <c r="W28" s="76"/>
      <c r="X28" s="76"/>
      <c r="Y28" s="77"/>
      <c r="Z28" s="75"/>
      <c r="AA28" s="76"/>
      <c r="AB28" s="76"/>
      <c r="AC28" s="76"/>
      <c r="AD28" s="76"/>
      <c r="AE28" s="77"/>
      <c r="AF28" s="78"/>
      <c r="AG28" s="79"/>
      <c r="AH28" s="79"/>
      <c r="AI28" s="79"/>
      <c r="AJ28" s="79"/>
      <c r="AK28" s="80"/>
      <c r="AL28" s="78"/>
      <c r="AM28" s="79"/>
      <c r="AN28" s="79"/>
      <c r="AO28" s="79"/>
      <c r="AP28" s="79"/>
      <c r="AQ28" s="80"/>
      <c r="AR28" s="75"/>
      <c r="AS28" s="76"/>
      <c r="AT28" s="76"/>
      <c r="AU28" s="76"/>
      <c r="AV28" s="76"/>
      <c r="AW28" s="77"/>
      <c r="AX28" s="78"/>
      <c r="AY28" s="79"/>
      <c r="AZ28" s="79"/>
      <c r="BA28" s="79"/>
      <c r="BB28" s="79"/>
      <c r="BC28" s="80"/>
      <c r="BD28" s="78"/>
      <c r="BE28" s="79"/>
      <c r="BF28" s="79"/>
      <c r="BG28" s="79"/>
      <c r="BH28" s="79"/>
      <c r="BI28" s="80"/>
      <c r="BJ28" s="78"/>
      <c r="BK28" s="79"/>
      <c r="BL28" s="79"/>
      <c r="BM28" s="79"/>
      <c r="BN28" s="79"/>
      <c r="BO28" s="80"/>
      <c r="BP28" s="78"/>
      <c r="BQ28" s="79"/>
      <c r="BR28" s="79"/>
      <c r="BS28" s="79"/>
      <c r="BT28" s="79"/>
      <c r="BU28" s="80"/>
      <c r="BV28" s="78"/>
      <c r="BW28" s="79"/>
      <c r="BX28" s="79"/>
      <c r="BY28" s="79"/>
      <c r="BZ28" s="79"/>
      <c r="CA28" s="80"/>
      <c r="CB28" s="85"/>
      <c r="CC28" s="86"/>
      <c r="CD28" s="86"/>
      <c r="CE28" s="86"/>
      <c r="CF28" s="86"/>
      <c r="CG28" s="87"/>
      <c r="CH28" s="81"/>
      <c r="CI28" s="82"/>
      <c r="CJ28" s="82"/>
      <c r="CK28" s="82"/>
      <c r="CL28" s="82"/>
      <c r="CM28" s="83"/>
      <c r="CN28" s="81"/>
      <c r="CO28" s="82"/>
      <c r="CP28" s="82"/>
      <c r="CQ28" s="82"/>
      <c r="CR28" s="82"/>
      <c r="CS28" s="83"/>
      <c r="CT28" s="84"/>
      <c r="CU28" s="84"/>
      <c r="CV28" s="84"/>
      <c r="CW28" s="84"/>
      <c r="CX28" s="84"/>
      <c r="CY28" s="84"/>
      <c r="CZ28" s="75"/>
      <c r="DA28" s="76"/>
      <c r="DB28" s="76"/>
      <c r="DC28" s="76"/>
      <c r="DD28" s="76"/>
      <c r="DE28" s="76"/>
      <c r="DF28" s="77"/>
      <c r="DH28" s="7"/>
    </row>
    <row r="29" spans="1:112" ht="12" customHeight="1" x14ac:dyDescent="0.2">
      <c r="A29" s="56"/>
      <c r="B29" s="56"/>
      <c r="C29" s="56"/>
      <c r="D29" s="56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56"/>
      <c r="Q29" s="56"/>
      <c r="R29" s="56"/>
      <c r="S29" s="56"/>
      <c r="T29" s="89"/>
      <c r="U29" s="90"/>
      <c r="V29" s="90"/>
      <c r="W29" s="90"/>
      <c r="X29" s="90"/>
      <c r="Y29" s="91"/>
      <c r="Z29" s="89"/>
      <c r="AA29" s="90"/>
      <c r="AB29" s="90"/>
      <c r="AC29" s="90"/>
      <c r="AD29" s="90"/>
      <c r="AE29" s="91"/>
      <c r="AF29" s="92"/>
      <c r="AG29" s="93"/>
      <c r="AH29" s="93"/>
      <c r="AI29" s="93"/>
      <c r="AJ29" s="93"/>
      <c r="AK29" s="94"/>
      <c r="AL29" s="92"/>
      <c r="AM29" s="93"/>
      <c r="AN29" s="93"/>
      <c r="AO29" s="93"/>
      <c r="AP29" s="93"/>
      <c r="AQ29" s="94"/>
      <c r="AR29" s="39"/>
      <c r="AS29" s="40"/>
      <c r="AT29" s="40"/>
      <c r="AU29" s="40"/>
      <c r="AV29" s="40"/>
      <c r="AW29" s="41"/>
      <c r="AX29" s="92"/>
      <c r="AY29" s="93"/>
      <c r="AZ29" s="93"/>
      <c r="BA29" s="93"/>
      <c r="BB29" s="93"/>
      <c r="BC29" s="94"/>
      <c r="BD29" s="92"/>
      <c r="BE29" s="93"/>
      <c r="BF29" s="93"/>
      <c r="BG29" s="93"/>
      <c r="BH29" s="93"/>
      <c r="BI29" s="94"/>
      <c r="BJ29" s="92"/>
      <c r="BK29" s="93"/>
      <c r="BL29" s="93"/>
      <c r="BM29" s="93"/>
      <c r="BN29" s="93"/>
      <c r="BO29" s="94"/>
      <c r="BP29" s="92"/>
      <c r="BQ29" s="93"/>
      <c r="BR29" s="93"/>
      <c r="BS29" s="93"/>
      <c r="BT29" s="93"/>
      <c r="BU29" s="94"/>
      <c r="BV29" s="92"/>
      <c r="BW29" s="93"/>
      <c r="BX29" s="93"/>
      <c r="BY29" s="93"/>
      <c r="BZ29" s="93"/>
      <c r="CA29" s="94"/>
      <c r="CB29" s="92"/>
      <c r="CC29" s="93"/>
      <c r="CD29" s="93"/>
      <c r="CE29" s="93"/>
      <c r="CF29" s="93"/>
      <c r="CG29" s="94"/>
      <c r="CH29" s="89"/>
      <c r="CI29" s="90"/>
      <c r="CJ29" s="90"/>
      <c r="CK29" s="90"/>
      <c r="CL29" s="90"/>
      <c r="CM29" s="91"/>
      <c r="CN29" s="89"/>
      <c r="CO29" s="90"/>
      <c r="CP29" s="90"/>
      <c r="CQ29" s="90"/>
      <c r="CR29" s="90"/>
      <c r="CS29" s="91"/>
      <c r="CT29" s="95"/>
      <c r="CU29" s="95"/>
      <c r="CV29" s="95"/>
      <c r="CW29" s="95"/>
      <c r="CX29" s="95"/>
      <c r="CY29" s="95"/>
      <c r="CZ29" s="89"/>
      <c r="DA29" s="90"/>
      <c r="DB29" s="90"/>
      <c r="DC29" s="90"/>
      <c r="DD29" s="90"/>
      <c r="DE29" s="90"/>
      <c r="DF29" s="91"/>
    </row>
    <row r="30" spans="1:112" ht="12" customHeight="1" x14ac:dyDescent="0.2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89"/>
      <c r="U30" s="90"/>
      <c r="V30" s="90"/>
      <c r="W30" s="90"/>
      <c r="X30" s="90"/>
      <c r="Y30" s="91"/>
      <c r="Z30" s="89"/>
      <c r="AA30" s="90"/>
      <c r="AB30" s="90"/>
      <c r="AC30" s="90"/>
      <c r="AD30" s="90"/>
      <c r="AE30" s="91"/>
      <c r="AF30" s="92"/>
      <c r="AG30" s="93"/>
      <c r="AH30" s="93"/>
      <c r="AI30" s="93"/>
      <c r="AJ30" s="93"/>
      <c r="AK30" s="94"/>
      <c r="AL30" s="92"/>
      <c r="AM30" s="93"/>
      <c r="AN30" s="93"/>
      <c r="AO30" s="93"/>
      <c r="AP30" s="93"/>
      <c r="AQ30" s="94"/>
      <c r="AR30" s="89"/>
      <c r="AS30" s="90"/>
      <c r="AT30" s="90"/>
      <c r="AU30" s="90"/>
      <c r="AV30" s="90"/>
      <c r="AW30" s="91"/>
      <c r="AX30" s="92"/>
      <c r="AY30" s="93"/>
      <c r="AZ30" s="93"/>
      <c r="BA30" s="93"/>
      <c r="BB30" s="93"/>
      <c r="BC30" s="94"/>
      <c r="BD30" s="92"/>
      <c r="BE30" s="93"/>
      <c r="BF30" s="93"/>
      <c r="BG30" s="93"/>
      <c r="BH30" s="93"/>
      <c r="BI30" s="94"/>
      <c r="BJ30" s="92"/>
      <c r="BK30" s="93"/>
      <c r="BL30" s="93"/>
      <c r="BM30" s="93"/>
      <c r="BN30" s="93"/>
      <c r="BO30" s="94"/>
      <c r="BP30" s="92"/>
      <c r="BQ30" s="93"/>
      <c r="BR30" s="93"/>
      <c r="BS30" s="93"/>
      <c r="BT30" s="93"/>
      <c r="BU30" s="94"/>
      <c r="BV30" s="92"/>
      <c r="BW30" s="93"/>
      <c r="BX30" s="93"/>
      <c r="BY30" s="93"/>
      <c r="BZ30" s="93"/>
      <c r="CA30" s="94"/>
      <c r="CB30" s="92"/>
      <c r="CC30" s="93"/>
      <c r="CD30" s="93"/>
      <c r="CE30" s="93"/>
      <c r="CF30" s="93"/>
      <c r="CG30" s="94"/>
      <c r="CH30" s="89"/>
      <c r="CI30" s="90"/>
      <c r="CJ30" s="90"/>
      <c r="CK30" s="90"/>
      <c r="CL30" s="90"/>
      <c r="CM30" s="91"/>
      <c r="CN30" s="89"/>
      <c r="CO30" s="90"/>
      <c r="CP30" s="90"/>
      <c r="CQ30" s="90"/>
      <c r="CR30" s="90"/>
      <c r="CS30" s="91"/>
      <c r="CT30" s="95"/>
      <c r="CU30" s="95"/>
      <c r="CV30" s="95"/>
      <c r="CW30" s="95"/>
      <c r="CX30" s="95"/>
      <c r="CY30" s="95"/>
      <c r="CZ30" s="89"/>
      <c r="DA30" s="90"/>
      <c r="DB30" s="90"/>
      <c r="DC30" s="90"/>
      <c r="DD30" s="90"/>
      <c r="DE30" s="90"/>
      <c r="DF30" s="91"/>
    </row>
    <row r="31" spans="1:112" ht="12" customHeight="1" x14ac:dyDescent="0.2">
      <c r="A31" s="56"/>
      <c r="B31" s="56"/>
      <c r="C31" s="56"/>
      <c r="D31" s="56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56"/>
      <c r="Q31" s="56"/>
      <c r="R31" s="56"/>
      <c r="S31" s="56"/>
      <c r="T31" s="89"/>
      <c r="U31" s="90"/>
      <c r="V31" s="90"/>
      <c r="W31" s="90"/>
      <c r="X31" s="90"/>
      <c r="Y31" s="91"/>
      <c r="Z31" s="39"/>
      <c r="AA31" s="40"/>
      <c r="AB31" s="40"/>
      <c r="AC31" s="40"/>
      <c r="AD31" s="40"/>
      <c r="AE31" s="41"/>
      <c r="AF31" s="92"/>
      <c r="AG31" s="93"/>
      <c r="AH31" s="93"/>
      <c r="AI31" s="93"/>
      <c r="AJ31" s="93"/>
      <c r="AK31" s="94"/>
      <c r="AL31" s="92"/>
      <c r="AM31" s="93"/>
      <c r="AN31" s="93"/>
      <c r="AO31" s="93"/>
      <c r="AP31" s="93"/>
      <c r="AQ31" s="94"/>
      <c r="AR31" s="39"/>
      <c r="AS31" s="40"/>
      <c r="AT31" s="40"/>
      <c r="AU31" s="40"/>
      <c r="AV31" s="40"/>
      <c r="AW31" s="41"/>
      <c r="AX31" s="92"/>
      <c r="AY31" s="93"/>
      <c r="AZ31" s="93"/>
      <c r="BA31" s="93"/>
      <c r="BB31" s="93"/>
      <c r="BC31" s="94"/>
      <c r="BD31" s="92"/>
      <c r="BE31" s="93"/>
      <c r="BF31" s="93"/>
      <c r="BG31" s="93"/>
      <c r="BH31" s="93"/>
      <c r="BI31" s="94"/>
      <c r="BJ31" s="92"/>
      <c r="BK31" s="93"/>
      <c r="BL31" s="93"/>
      <c r="BM31" s="93"/>
      <c r="BN31" s="93"/>
      <c r="BO31" s="94"/>
      <c r="BP31" s="92"/>
      <c r="BQ31" s="93"/>
      <c r="BR31" s="93"/>
      <c r="BS31" s="93"/>
      <c r="BT31" s="93"/>
      <c r="BU31" s="94"/>
      <c r="BV31" s="92"/>
      <c r="BW31" s="93"/>
      <c r="BX31" s="93"/>
      <c r="BY31" s="93"/>
      <c r="BZ31" s="93"/>
      <c r="CA31" s="94"/>
      <c r="CB31" s="92"/>
      <c r="CC31" s="93"/>
      <c r="CD31" s="93"/>
      <c r="CE31" s="93"/>
      <c r="CF31" s="93"/>
      <c r="CG31" s="94"/>
      <c r="CH31" s="89"/>
      <c r="CI31" s="90"/>
      <c r="CJ31" s="90"/>
      <c r="CK31" s="90"/>
      <c r="CL31" s="90"/>
      <c r="CM31" s="91"/>
      <c r="CN31" s="89"/>
      <c r="CO31" s="90"/>
      <c r="CP31" s="90"/>
      <c r="CQ31" s="90"/>
      <c r="CR31" s="90"/>
      <c r="CS31" s="91"/>
      <c r="CT31" s="95"/>
      <c r="CU31" s="95"/>
      <c r="CV31" s="95"/>
      <c r="CW31" s="95"/>
      <c r="CX31" s="95"/>
      <c r="CY31" s="95"/>
      <c r="CZ31" s="89"/>
      <c r="DA31" s="90"/>
      <c r="DB31" s="90"/>
      <c r="DC31" s="90"/>
      <c r="DD31" s="90"/>
      <c r="DE31" s="90"/>
      <c r="DF31" s="91"/>
    </row>
    <row r="32" spans="1:112" ht="12" customHeight="1" x14ac:dyDescent="0.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89"/>
      <c r="U32" s="90"/>
      <c r="V32" s="90"/>
      <c r="W32" s="90"/>
      <c r="X32" s="90"/>
      <c r="Y32" s="91"/>
      <c r="Z32" s="89"/>
      <c r="AA32" s="90"/>
      <c r="AB32" s="90"/>
      <c r="AC32" s="90"/>
      <c r="AD32" s="90"/>
      <c r="AE32" s="91"/>
      <c r="AF32" s="92"/>
      <c r="AG32" s="93"/>
      <c r="AH32" s="93"/>
      <c r="AI32" s="93"/>
      <c r="AJ32" s="93"/>
      <c r="AK32" s="94"/>
      <c r="AL32" s="92"/>
      <c r="AM32" s="93"/>
      <c r="AN32" s="93"/>
      <c r="AO32" s="93"/>
      <c r="AP32" s="93"/>
      <c r="AQ32" s="94"/>
      <c r="AR32" s="89"/>
      <c r="AS32" s="90"/>
      <c r="AT32" s="90"/>
      <c r="AU32" s="90"/>
      <c r="AV32" s="90"/>
      <c r="AW32" s="91"/>
      <c r="AX32" s="92"/>
      <c r="AY32" s="93"/>
      <c r="AZ32" s="93"/>
      <c r="BA32" s="93"/>
      <c r="BB32" s="93"/>
      <c r="BC32" s="94"/>
      <c r="BD32" s="92"/>
      <c r="BE32" s="93"/>
      <c r="BF32" s="93"/>
      <c r="BG32" s="93"/>
      <c r="BH32" s="93"/>
      <c r="BI32" s="94"/>
      <c r="BJ32" s="92"/>
      <c r="BK32" s="93"/>
      <c r="BL32" s="93"/>
      <c r="BM32" s="93"/>
      <c r="BN32" s="93"/>
      <c r="BO32" s="94"/>
      <c r="BP32" s="92"/>
      <c r="BQ32" s="93"/>
      <c r="BR32" s="93"/>
      <c r="BS32" s="93"/>
      <c r="BT32" s="93"/>
      <c r="BU32" s="94"/>
      <c r="BV32" s="92"/>
      <c r="BW32" s="93"/>
      <c r="BX32" s="93"/>
      <c r="BY32" s="93"/>
      <c r="BZ32" s="93"/>
      <c r="CA32" s="94"/>
      <c r="CB32" s="92"/>
      <c r="CC32" s="93"/>
      <c r="CD32" s="93"/>
      <c r="CE32" s="93"/>
      <c r="CF32" s="93"/>
      <c r="CG32" s="94"/>
      <c r="CH32" s="89"/>
      <c r="CI32" s="90"/>
      <c r="CJ32" s="90"/>
      <c r="CK32" s="90"/>
      <c r="CL32" s="90"/>
      <c r="CM32" s="91"/>
      <c r="CN32" s="89"/>
      <c r="CO32" s="90"/>
      <c r="CP32" s="90"/>
      <c r="CQ32" s="90"/>
      <c r="CR32" s="90"/>
      <c r="CS32" s="91"/>
      <c r="CT32" s="95"/>
      <c r="CU32" s="95"/>
      <c r="CV32" s="95"/>
      <c r="CW32" s="95"/>
      <c r="CX32" s="95"/>
      <c r="CY32" s="95"/>
      <c r="CZ32" s="89"/>
      <c r="DA32" s="90"/>
      <c r="DB32" s="90"/>
      <c r="DC32" s="90"/>
      <c r="DD32" s="90"/>
      <c r="DE32" s="90"/>
      <c r="DF32" s="91"/>
    </row>
    <row r="33" spans="1:110" ht="12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9"/>
      <c r="AS33" s="9"/>
      <c r="AT33" s="9"/>
      <c r="AU33" s="9"/>
      <c r="AV33" s="9"/>
      <c r="AW33" s="9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</row>
    <row r="34" spans="1:110" x14ac:dyDescent="0.2">
      <c r="A34" s="98" t="s">
        <v>52</v>
      </c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</row>
    <row r="35" spans="1:110" ht="12" customHeight="1" x14ac:dyDescent="0.2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3" t="s">
        <v>53</v>
      </c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59"/>
      <c r="BU35" s="61"/>
      <c r="BV35" s="14" t="s">
        <v>54</v>
      </c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99" t="s">
        <v>55</v>
      </c>
      <c r="CJ35" s="100"/>
      <c r="CK35" s="14" t="s">
        <v>56</v>
      </c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5"/>
    </row>
    <row r="36" spans="1:110" ht="12" customHeight="1" x14ac:dyDescent="0.2">
      <c r="A36" s="42" t="s">
        <v>57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 t="s">
        <v>58</v>
      </c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 t="s">
        <v>59</v>
      </c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96" t="s">
        <v>60</v>
      </c>
      <c r="CW36" s="96"/>
      <c r="CX36" s="96"/>
      <c r="CY36" s="96"/>
      <c r="CZ36" s="96"/>
      <c r="DA36" s="96"/>
      <c r="DB36" s="96"/>
      <c r="DC36" s="96"/>
      <c r="DD36" s="96"/>
      <c r="DE36" s="96"/>
      <c r="DF36" s="96"/>
    </row>
    <row r="37" spans="1:110" ht="12" customHeight="1" x14ac:dyDescent="0.2">
      <c r="A37" s="141" t="s">
        <v>61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39" t="s">
        <v>62</v>
      </c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1"/>
      <c r="AK37" s="42" t="s">
        <v>63</v>
      </c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 t="s">
        <v>64</v>
      </c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97"/>
      <c r="CF37" s="97"/>
      <c r="CG37" s="97"/>
      <c r="CH37" s="97"/>
      <c r="CI37" s="97"/>
      <c r="CJ37" s="97"/>
      <c r="CK37" s="97"/>
      <c r="CL37" s="97"/>
      <c r="CM37" s="97"/>
      <c r="CN37" s="97"/>
      <c r="CO37" s="97"/>
      <c r="CP37" s="97"/>
      <c r="CQ37" s="97"/>
      <c r="CR37" s="97"/>
      <c r="CS37" s="97"/>
      <c r="CT37" s="97"/>
      <c r="CU37" s="97"/>
      <c r="CV37" s="69" t="s">
        <v>65</v>
      </c>
      <c r="CW37" s="70"/>
      <c r="CX37" s="70"/>
      <c r="CY37" s="70"/>
      <c r="CZ37" s="70"/>
      <c r="DA37" s="70"/>
      <c r="DB37" s="70"/>
      <c r="DC37" s="70"/>
      <c r="DD37" s="70"/>
      <c r="DE37" s="70"/>
      <c r="DF37" s="71"/>
    </row>
    <row r="38" spans="1:110" ht="12" customHeight="1" x14ac:dyDescent="0.2">
      <c r="A38" s="104" t="s">
        <v>15</v>
      </c>
      <c r="B38" s="114"/>
      <c r="C38" s="114"/>
      <c r="D38" s="114"/>
      <c r="E38" s="42" t="s">
        <v>21</v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 t="s">
        <v>132</v>
      </c>
      <c r="T38" s="42"/>
      <c r="U38" s="69" t="s">
        <v>39</v>
      </c>
      <c r="V38" s="71"/>
      <c r="W38" s="101" t="s">
        <v>66</v>
      </c>
      <c r="X38" s="102"/>
      <c r="Y38" s="102"/>
      <c r="Z38" s="102"/>
      <c r="AA38" s="102"/>
      <c r="AB38" s="102"/>
      <c r="AC38" s="103"/>
      <c r="AD38" s="101" t="s">
        <v>67</v>
      </c>
      <c r="AE38" s="102"/>
      <c r="AF38" s="102"/>
      <c r="AG38" s="102"/>
      <c r="AH38" s="102"/>
      <c r="AI38" s="102"/>
      <c r="AJ38" s="103"/>
      <c r="AK38" s="101" t="s">
        <v>68</v>
      </c>
      <c r="AL38" s="102"/>
      <c r="AM38" s="102"/>
      <c r="AN38" s="102"/>
      <c r="AO38" s="102"/>
      <c r="AP38" s="102"/>
      <c r="AQ38" s="103"/>
      <c r="AR38" s="53" t="s">
        <v>69</v>
      </c>
      <c r="AS38" s="53"/>
      <c r="AT38" s="53"/>
      <c r="AU38" s="53"/>
      <c r="AV38" s="53"/>
      <c r="AW38" s="53"/>
      <c r="AX38" s="53"/>
      <c r="AY38" s="69" t="s">
        <v>70</v>
      </c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1"/>
      <c r="BQ38" s="42" t="s">
        <v>71</v>
      </c>
      <c r="BR38" s="42"/>
      <c r="BS38" s="42"/>
      <c r="BT38" s="42"/>
      <c r="BU38" s="42"/>
      <c r="BV38" s="42"/>
      <c r="BW38" s="42"/>
      <c r="BX38" s="42"/>
      <c r="BY38" s="42"/>
      <c r="BZ38" s="42"/>
      <c r="CA38" s="42" t="s">
        <v>72</v>
      </c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69"/>
      <c r="CW38" s="70"/>
      <c r="CX38" s="70"/>
      <c r="CY38" s="70"/>
      <c r="CZ38" s="70"/>
      <c r="DA38" s="70"/>
      <c r="DB38" s="70"/>
      <c r="DC38" s="70"/>
      <c r="DD38" s="70"/>
      <c r="DE38" s="70"/>
      <c r="DF38" s="71"/>
    </row>
    <row r="39" spans="1:110" ht="12" customHeight="1" x14ac:dyDescent="0.2">
      <c r="A39" s="104" t="s">
        <v>23</v>
      </c>
      <c r="B39" s="104"/>
      <c r="C39" s="104"/>
      <c r="D39" s="104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42"/>
      <c r="P39" s="42"/>
      <c r="Q39" s="42"/>
      <c r="R39" s="42"/>
      <c r="S39" s="42"/>
      <c r="T39" s="42"/>
      <c r="U39" s="39"/>
      <c r="V39" s="41"/>
      <c r="W39" s="105" t="s">
        <v>73</v>
      </c>
      <c r="X39" s="106"/>
      <c r="Y39" s="106"/>
      <c r="Z39" s="106"/>
      <c r="AA39" s="106"/>
      <c r="AB39" s="106"/>
      <c r="AC39" s="107"/>
      <c r="AD39" s="105" t="s">
        <v>73</v>
      </c>
      <c r="AE39" s="106"/>
      <c r="AF39" s="106"/>
      <c r="AG39" s="106"/>
      <c r="AH39" s="106"/>
      <c r="AI39" s="106"/>
      <c r="AJ39" s="107"/>
      <c r="AK39" s="105" t="s">
        <v>35</v>
      </c>
      <c r="AL39" s="106"/>
      <c r="AM39" s="106"/>
      <c r="AN39" s="106"/>
      <c r="AO39" s="106"/>
      <c r="AP39" s="106"/>
      <c r="AQ39" s="107"/>
      <c r="AR39" s="109" t="s">
        <v>35</v>
      </c>
      <c r="AS39" s="109"/>
      <c r="AT39" s="109"/>
      <c r="AU39" s="109"/>
      <c r="AV39" s="109"/>
      <c r="AW39" s="109"/>
      <c r="AX39" s="109"/>
      <c r="AY39" s="56"/>
      <c r="AZ39" s="56"/>
      <c r="BA39" s="56"/>
      <c r="BB39" s="110" t="s">
        <v>74</v>
      </c>
      <c r="BC39" s="110"/>
      <c r="BD39" s="110"/>
      <c r="BE39" s="110"/>
      <c r="BF39" s="110"/>
      <c r="BG39" s="108" t="s">
        <v>75</v>
      </c>
      <c r="BH39" s="108"/>
      <c r="BI39" s="108"/>
      <c r="BJ39" s="108"/>
      <c r="BK39" s="108"/>
      <c r="BL39" s="111" t="s">
        <v>76</v>
      </c>
      <c r="BM39" s="112"/>
      <c r="BN39" s="112"/>
      <c r="BO39" s="112"/>
      <c r="BP39" s="113"/>
      <c r="BQ39" s="39" t="s">
        <v>77</v>
      </c>
      <c r="BR39" s="40"/>
      <c r="BS39" s="40"/>
      <c r="BT39" s="40"/>
      <c r="BU39" s="40"/>
      <c r="BV39" s="40"/>
      <c r="BW39" s="40"/>
      <c r="BX39" s="40"/>
      <c r="BY39" s="40"/>
      <c r="BZ39" s="40"/>
      <c r="CA39" s="108" t="s">
        <v>74</v>
      </c>
      <c r="CB39" s="108"/>
      <c r="CC39" s="108"/>
      <c r="CD39" s="108"/>
      <c r="CE39" s="108"/>
      <c r="CF39" s="108" t="s">
        <v>75</v>
      </c>
      <c r="CG39" s="108"/>
      <c r="CH39" s="108"/>
      <c r="CI39" s="108"/>
      <c r="CJ39" s="108"/>
      <c r="CK39" s="108" t="s">
        <v>76</v>
      </c>
      <c r="CL39" s="108"/>
      <c r="CM39" s="108"/>
      <c r="CN39" s="108"/>
      <c r="CO39" s="108"/>
      <c r="CP39" s="39" t="s">
        <v>78</v>
      </c>
      <c r="CQ39" s="40"/>
      <c r="CR39" s="40"/>
      <c r="CS39" s="40"/>
      <c r="CT39" s="40"/>
      <c r="CU39" s="40"/>
      <c r="CV39" s="69"/>
      <c r="CW39" s="70"/>
      <c r="CX39" s="70"/>
      <c r="CY39" s="70"/>
      <c r="CZ39" s="70"/>
      <c r="DA39" s="70"/>
      <c r="DB39" s="70"/>
      <c r="DC39" s="70"/>
      <c r="DD39" s="70"/>
      <c r="DE39" s="70"/>
      <c r="DF39" s="71"/>
    </row>
    <row r="40" spans="1:110" ht="12" customHeight="1" x14ac:dyDescent="0.2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 t="s">
        <v>48</v>
      </c>
      <c r="P40" s="56"/>
      <c r="Q40" s="56"/>
      <c r="R40" s="56"/>
      <c r="S40" s="42"/>
      <c r="T40" s="42"/>
      <c r="U40" s="39"/>
      <c r="V40" s="41"/>
      <c r="W40" s="69">
        <v>240</v>
      </c>
      <c r="X40" s="70"/>
      <c r="Y40" s="70"/>
      <c r="Z40" s="70"/>
      <c r="AA40" s="70"/>
      <c r="AB40" s="70"/>
      <c r="AC40" s="71"/>
      <c r="AD40" s="69">
        <v>415</v>
      </c>
      <c r="AE40" s="70"/>
      <c r="AF40" s="70"/>
      <c r="AG40" s="70"/>
      <c r="AH40" s="70"/>
      <c r="AI40" s="70"/>
      <c r="AJ40" s="71"/>
      <c r="AK40" s="69">
        <v>30</v>
      </c>
      <c r="AL40" s="70"/>
      <c r="AM40" s="70"/>
      <c r="AN40" s="70"/>
      <c r="AO40" s="70"/>
      <c r="AP40" s="70"/>
      <c r="AQ40" s="71"/>
      <c r="AR40" s="115" t="s">
        <v>49</v>
      </c>
      <c r="AS40" s="109"/>
      <c r="AT40" s="109"/>
      <c r="AU40" s="109"/>
      <c r="AV40" s="109"/>
      <c r="AW40" s="109"/>
      <c r="AX40" s="109"/>
      <c r="AY40" s="56"/>
      <c r="AZ40" s="56"/>
      <c r="BA40" s="56"/>
      <c r="BB40" s="116" t="s">
        <v>49</v>
      </c>
      <c r="BC40" s="117"/>
      <c r="BD40" s="117"/>
      <c r="BE40" s="117"/>
      <c r="BF40" s="117"/>
      <c r="BG40" s="117"/>
      <c r="BH40" s="117"/>
      <c r="BI40" s="117"/>
      <c r="BJ40" s="117"/>
      <c r="BK40" s="117"/>
      <c r="BL40" s="117"/>
      <c r="BM40" s="117"/>
      <c r="BN40" s="117"/>
      <c r="BO40" s="117"/>
      <c r="BP40" s="118"/>
      <c r="BQ40" s="39"/>
      <c r="BR40" s="40"/>
      <c r="BS40" s="40"/>
      <c r="BT40" s="40"/>
      <c r="BU40" s="40"/>
      <c r="BV40" s="40"/>
      <c r="BW40" s="40"/>
      <c r="BX40" s="40"/>
      <c r="BY40" s="40"/>
      <c r="BZ40" s="40"/>
      <c r="CA40" s="108"/>
      <c r="CB40" s="108"/>
      <c r="CC40" s="108"/>
      <c r="CD40" s="108"/>
      <c r="CE40" s="108"/>
      <c r="CF40" s="108"/>
      <c r="CG40" s="108"/>
      <c r="CH40" s="108"/>
      <c r="CI40" s="108"/>
      <c r="CJ40" s="108"/>
      <c r="CK40" s="108"/>
      <c r="CL40" s="108"/>
      <c r="CM40" s="108"/>
      <c r="CN40" s="108"/>
      <c r="CO40" s="108"/>
      <c r="CP40" s="39"/>
      <c r="CQ40" s="40"/>
      <c r="CR40" s="40"/>
      <c r="CS40" s="40"/>
      <c r="CT40" s="40"/>
      <c r="CU40" s="40"/>
      <c r="CV40" s="56"/>
      <c r="CW40" s="56"/>
      <c r="CX40" s="56"/>
      <c r="CY40" s="56"/>
      <c r="CZ40" s="56"/>
      <c r="DA40" s="56"/>
      <c r="DB40" s="56"/>
      <c r="DC40" s="56"/>
      <c r="DD40" s="56"/>
      <c r="DE40" s="56"/>
      <c r="DF40" s="56"/>
    </row>
    <row r="41" spans="1:110" ht="12" customHeight="1" x14ac:dyDescent="0.2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 t="s">
        <v>50</v>
      </c>
      <c r="P41" s="56"/>
      <c r="Q41" s="56"/>
      <c r="R41" s="56"/>
      <c r="S41" s="42"/>
      <c r="T41" s="42"/>
      <c r="U41" s="39"/>
      <c r="V41" s="41"/>
      <c r="W41" s="45" t="s">
        <v>49</v>
      </c>
      <c r="X41" s="40"/>
      <c r="Y41" s="40"/>
      <c r="Z41" s="40"/>
      <c r="AA41" s="40"/>
      <c r="AB41" s="40"/>
      <c r="AC41" s="41"/>
      <c r="AD41" s="45" t="s">
        <v>49</v>
      </c>
      <c r="AE41" s="40"/>
      <c r="AF41" s="40"/>
      <c r="AG41" s="40"/>
      <c r="AH41" s="40"/>
      <c r="AI41" s="40"/>
      <c r="AJ41" s="41"/>
      <c r="AK41" s="45" t="s">
        <v>49</v>
      </c>
      <c r="AL41" s="40"/>
      <c r="AM41" s="40"/>
      <c r="AN41" s="40"/>
      <c r="AO41" s="40"/>
      <c r="AP41" s="40"/>
      <c r="AQ41" s="41"/>
      <c r="AR41" s="115" t="s">
        <v>49</v>
      </c>
      <c r="AS41" s="109"/>
      <c r="AT41" s="109"/>
      <c r="AU41" s="109"/>
      <c r="AV41" s="109"/>
      <c r="AW41" s="109"/>
      <c r="AX41" s="109"/>
      <c r="AY41" s="56"/>
      <c r="AZ41" s="56"/>
      <c r="BA41" s="56"/>
      <c r="BB41" s="119" t="s">
        <v>79</v>
      </c>
      <c r="BC41" s="120"/>
      <c r="BD41" s="120"/>
      <c r="BE41" s="120"/>
      <c r="BF41" s="120"/>
      <c r="BG41" s="120"/>
      <c r="BH41" s="120"/>
      <c r="BI41" s="120"/>
      <c r="BJ41" s="120"/>
      <c r="BK41" s="120"/>
      <c r="BL41" s="120"/>
      <c r="BM41" s="120"/>
      <c r="BN41" s="120"/>
      <c r="BO41" s="120"/>
      <c r="BP41" s="121"/>
      <c r="BQ41" s="39"/>
      <c r="BR41" s="40"/>
      <c r="BS41" s="40"/>
      <c r="BT41" s="40"/>
      <c r="BU41" s="40"/>
      <c r="BV41" s="40"/>
      <c r="BW41" s="40"/>
      <c r="BX41" s="40"/>
      <c r="BY41" s="40"/>
      <c r="BZ41" s="40"/>
      <c r="CA41" s="108"/>
      <c r="CB41" s="108"/>
      <c r="CC41" s="108"/>
      <c r="CD41" s="108"/>
      <c r="CE41" s="108"/>
      <c r="CF41" s="108"/>
      <c r="CG41" s="108"/>
      <c r="CH41" s="108"/>
      <c r="CI41" s="108"/>
      <c r="CJ41" s="108"/>
      <c r="CK41" s="108"/>
      <c r="CL41" s="108"/>
      <c r="CM41" s="108"/>
      <c r="CN41" s="108"/>
      <c r="CO41" s="108"/>
      <c r="CP41" s="39"/>
      <c r="CQ41" s="40"/>
      <c r="CR41" s="40"/>
      <c r="CS41" s="40"/>
      <c r="CT41" s="40"/>
      <c r="CU41" s="40"/>
      <c r="CV41" s="56"/>
      <c r="CW41" s="56"/>
      <c r="CX41" s="56"/>
      <c r="CY41" s="56"/>
      <c r="CZ41" s="56"/>
      <c r="DA41" s="56"/>
      <c r="DB41" s="56"/>
      <c r="DC41" s="56"/>
      <c r="DD41" s="56"/>
      <c r="DE41" s="56"/>
      <c r="DF41" s="56"/>
    </row>
    <row r="42" spans="1:110" ht="12" customHeight="1" x14ac:dyDescent="0.2">
      <c r="A42" s="56">
        <f>A25</f>
        <v>50</v>
      </c>
      <c r="B42" s="56"/>
      <c r="C42" s="56"/>
      <c r="D42" s="56"/>
      <c r="E42" s="44" t="str">
        <f>E25</f>
        <v>N480</v>
      </c>
      <c r="F42" s="44"/>
      <c r="G42" s="44"/>
      <c r="H42" s="44"/>
      <c r="I42" s="44"/>
      <c r="J42" s="44"/>
      <c r="K42" s="44"/>
      <c r="L42" s="44"/>
      <c r="M42" s="44"/>
      <c r="N42" s="44"/>
      <c r="O42" s="56" t="s">
        <v>38</v>
      </c>
      <c r="P42" s="56"/>
      <c r="Q42" s="56"/>
      <c r="R42" s="56"/>
      <c r="S42" s="56" t="s">
        <v>80</v>
      </c>
      <c r="T42" s="56"/>
      <c r="U42" s="39" t="s">
        <v>88</v>
      </c>
      <c r="V42" s="41"/>
      <c r="W42" s="75">
        <v>306.69</v>
      </c>
      <c r="X42" s="76"/>
      <c r="Y42" s="76"/>
      <c r="Z42" s="76"/>
      <c r="AA42" s="76"/>
      <c r="AB42" s="76"/>
      <c r="AC42" s="77"/>
      <c r="AD42" s="75">
        <v>492.28</v>
      </c>
      <c r="AE42" s="76"/>
      <c r="AF42" s="76"/>
      <c r="AG42" s="76"/>
      <c r="AH42" s="76"/>
      <c r="AI42" s="76"/>
      <c r="AJ42" s="77"/>
      <c r="AK42" s="75">
        <v>41.35</v>
      </c>
      <c r="AL42" s="76"/>
      <c r="AM42" s="76"/>
      <c r="AN42" s="76"/>
      <c r="AO42" s="76"/>
      <c r="AP42" s="76"/>
      <c r="AQ42" s="77"/>
      <c r="AR42" s="124"/>
      <c r="AS42" s="124"/>
      <c r="AT42" s="124"/>
      <c r="AU42" s="124"/>
      <c r="AV42" s="124"/>
      <c r="AW42" s="124"/>
      <c r="AX42" s="124"/>
      <c r="AY42" s="44" t="s">
        <v>81</v>
      </c>
      <c r="AZ42" s="44"/>
      <c r="BA42" s="44"/>
      <c r="BB42" s="125">
        <v>143</v>
      </c>
      <c r="BC42" s="125"/>
      <c r="BD42" s="125"/>
      <c r="BE42" s="125"/>
      <c r="BF42" s="125"/>
      <c r="BG42" s="126">
        <v>144</v>
      </c>
      <c r="BH42" s="126"/>
      <c r="BI42" s="126"/>
      <c r="BJ42" s="126"/>
      <c r="BK42" s="126"/>
      <c r="BL42" s="127">
        <v>144</v>
      </c>
      <c r="BM42" s="128"/>
      <c r="BN42" s="128"/>
      <c r="BO42" s="128"/>
      <c r="BP42" s="129"/>
      <c r="BQ42" s="39"/>
      <c r="BR42" s="40"/>
      <c r="BS42" s="40"/>
      <c r="BT42" s="40"/>
      <c r="BU42" s="40"/>
      <c r="BV42" s="40"/>
      <c r="BW42" s="40"/>
      <c r="BX42" s="40"/>
      <c r="BY42" s="40"/>
      <c r="BZ42" s="40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66"/>
      <c r="CQ42" s="67"/>
      <c r="CR42" s="67"/>
      <c r="CS42" s="67"/>
      <c r="CT42" s="67"/>
      <c r="CU42" s="67"/>
      <c r="CV42" s="123">
        <v>30029764</v>
      </c>
      <c r="CW42" s="56"/>
      <c r="CX42" s="56"/>
      <c r="CY42" s="56"/>
      <c r="CZ42" s="56"/>
      <c r="DA42" s="56"/>
      <c r="DB42" s="56"/>
      <c r="DC42" s="56"/>
      <c r="DD42" s="56"/>
      <c r="DE42" s="56"/>
      <c r="DF42" s="56"/>
    </row>
    <row r="43" spans="1:110" ht="12" customHeight="1" x14ac:dyDescent="0.2">
      <c r="A43" s="56"/>
      <c r="B43" s="56"/>
      <c r="C43" s="56"/>
      <c r="D43" s="56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2"/>
      <c r="T43" s="42"/>
      <c r="U43" s="39"/>
      <c r="V43" s="41"/>
      <c r="W43" s="75"/>
      <c r="X43" s="76"/>
      <c r="Y43" s="76"/>
      <c r="Z43" s="76"/>
      <c r="AA43" s="76"/>
      <c r="AB43" s="76"/>
      <c r="AC43" s="77"/>
      <c r="AD43" s="75"/>
      <c r="AE43" s="76"/>
      <c r="AF43" s="76"/>
      <c r="AG43" s="76"/>
      <c r="AH43" s="76"/>
      <c r="AI43" s="76"/>
      <c r="AJ43" s="77"/>
      <c r="AK43" s="75"/>
      <c r="AL43" s="76"/>
      <c r="AM43" s="76"/>
      <c r="AN43" s="76"/>
      <c r="AO43" s="76"/>
      <c r="AP43" s="76"/>
      <c r="AQ43" s="77"/>
      <c r="AR43" s="124"/>
      <c r="AS43" s="124"/>
      <c r="AT43" s="124"/>
      <c r="AU43" s="124"/>
      <c r="AV43" s="124"/>
      <c r="AW43" s="124"/>
      <c r="AX43" s="124"/>
      <c r="AY43" s="44"/>
      <c r="AZ43" s="44"/>
      <c r="BA43" s="44"/>
      <c r="BB43" s="125"/>
      <c r="BC43" s="125"/>
      <c r="BD43" s="125"/>
      <c r="BE43" s="125"/>
      <c r="BF43" s="125"/>
      <c r="BG43" s="126"/>
      <c r="BH43" s="126"/>
      <c r="BI43" s="126"/>
      <c r="BJ43" s="126"/>
      <c r="BK43" s="126"/>
      <c r="BL43" s="127"/>
      <c r="BM43" s="128"/>
      <c r="BN43" s="128"/>
      <c r="BO43" s="128"/>
      <c r="BP43" s="129"/>
      <c r="BQ43" s="39"/>
      <c r="BR43" s="40"/>
      <c r="BS43" s="40"/>
      <c r="BT43" s="40"/>
      <c r="BU43" s="40"/>
      <c r="BV43" s="40"/>
      <c r="BW43" s="40"/>
      <c r="BX43" s="40"/>
      <c r="BY43" s="40"/>
      <c r="BZ43" s="40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66"/>
      <c r="CQ43" s="67"/>
      <c r="CR43" s="67"/>
      <c r="CS43" s="67"/>
      <c r="CT43" s="67"/>
      <c r="CU43" s="67"/>
      <c r="CV43" s="123"/>
      <c r="CW43" s="56"/>
      <c r="CX43" s="56"/>
      <c r="CY43" s="56"/>
      <c r="CZ43" s="56"/>
      <c r="DA43" s="56"/>
      <c r="DB43" s="56"/>
      <c r="DC43" s="56"/>
      <c r="DD43" s="56"/>
      <c r="DE43" s="56"/>
      <c r="DF43" s="56"/>
    </row>
    <row r="44" spans="1:110" ht="12" customHeight="1" x14ac:dyDescent="0.2">
      <c r="A44" s="56"/>
      <c r="B44" s="56"/>
      <c r="C44" s="56"/>
      <c r="D44" s="56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2"/>
      <c r="T44" s="42"/>
      <c r="U44" s="39"/>
      <c r="V44" s="41"/>
      <c r="W44" s="89"/>
      <c r="X44" s="90"/>
      <c r="Y44" s="90"/>
      <c r="Z44" s="90"/>
      <c r="AA44" s="90"/>
      <c r="AB44" s="90"/>
      <c r="AC44" s="91"/>
      <c r="AD44" s="89"/>
      <c r="AE44" s="90"/>
      <c r="AF44" s="90"/>
      <c r="AG44" s="90"/>
      <c r="AH44" s="90"/>
      <c r="AI44" s="90"/>
      <c r="AJ44" s="91"/>
      <c r="AK44" s="89"/>
      <c r="AL44" s="90"/>
      <c r="AM44" s="90"/>
      <c r="AN44" s="90"/>
      <c r="AO44" s="90"/>
      <c r="AP44" s="90"/>
      <c r="AQ44" s="91"/>
      <c r="AR44" s="130"/>
      <c r="AS44" s="130"/>
      <c r="AT44" s="130"/>
      <c r="AU44" s="130"/>
      <c r="AV44" s="130"/>
      <c r="AW44" s="130"/>
      <c r="AX44" s="130"/>
      <c r="AY44" s="56"/>
      <c r="AZ44" s="56"/>
      <c r="BA44" s="56"/>
      <c r="BB44" s="130"/>
      <c r="BC44" s="130"/>
      <c r="BD44" s="130"/>
      <c r="BE44" s="130"/>
      <c r="BF44" s="130"/>
      <c r="BG44" s="122"/>
      <c r="BH44" s="122"/>
      <c r="BI44" s="122"/>
      <c r="BJ44" s="122"/>
      <c r="BK44" s="122"/>
      <c r="BL44" s="131"/>
      <c r="BM44" s="132"/>
      <c r="BN44" s="132"/>
      <c r="BO44" s="132"/>
      <c r="BP44" s="133"/>
      <c r="BQ44" s="39"/>
      <c r="BR44" s="40"/>
      <c r="BS44" s="40"/>
      <c r="BT44" s="40"/>
      <c r="BU44" s="40"/>
      <c r="BV44" s="40"/>
      <c r="BW44" s="40"/>
      <c r="BX44" s="40"/>
      <c r="BY44" s="40"/>
      <c r="BZ44" s="40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66"/>
      <c r="CQ44" s="67"/>
      <c r="CR44" s="67"/>
      <c r="CS44" s="67"/>
      <c r="CT44" s="67"/>
      <c r="CU44" s="67"/>
      <c r="CV44" s="123"/>
      <c r="CW44" s="56"/>
      <c r="CX44" s="56"/>
      <c r="CY44" s="56"/>
      <c r="CZ44" s="56"/>
      <c r="DA44" s="56"/>
      <c r="DB44" s="56"/>
      <c r="DC44" s="56"/>
      <c r="DD44" s="56"/>
      <c r="DE44" s="56"/>
      <c r="DF44" s="56"/>
    </row>
    <row r="45" spans="1:110" ht="12" customHeight="1" x14ac:dyDescent="0.2">
      <c r="A45" s="56"/>
      <c r="B45" s="56"/>
      <c r="C45" s="56"/>
      <c r="D45" s="56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2"/>
      <c r="T45" s="42"/>
      <c r="U45" s="39"/>
      <c r="V45" s="41"/>
      <c r="W45" s="131"/>
      <c r="X45" s="132"/>
      <c r="Y45" s="132"/>
      <c r="Z45" s="132"/>
      <c r="AA45" s="132"/>
      <c r="AB45" s="132"/>
      <c r="AC45" s="133"/>
      <c r="AD45" s="131"/>
      <c r="AE45" s="132"/>
      <c r="AF45" s="132"/>
      <c r="AG45" s="132"/>
      <c r="AH45" s="132"/>
      <c r="AI45" s="132"/>
      <c r="AJ45" s="133"/>
      <c r="AK45" s="89"/>
      <c r="AL45" s="90"/>
      <c r="AM45" s="90"/>
      <c r="AN45" s="90"/>
      <c r="AO45" s="90"/>
      <c r="AP45" s="90"/>
      <c r="AQ45" s="91"/>
      <c r="AR45" s="130"/>
      <c r="AS45" s="130"/>
      <c r="AT45" s="130"/>
      <c r="AU45" s="130"/>
      <c r="AV45" s="130"/>
      <c r="AW45" s="130"/>
      <c r="AX45" s="130"/>
      <c r="AY45" s="56"/>
      <c r="AZ45" s="56"/>
      <c r="BA45" s="56"/>
      <c r="BB45" s="130"/>
      <c r="BC45" s="130"/>
      <c r="BD45" s="130"/>
      <c r="BE45" s="130"/>
      <c r="BF45" s="130"/>
      <c r="BG45" s="122"/>
      <c r="BH45" s="122"/>
      <c r="BI45" s="122"/>
      <c r="BJ45" s="122"/>
      <c r="BK45" s="122"/>
      <c r="BL45" s="131"/>
      <c r="BM45" s="132"/>
      <c r="BN45" s="132"/>
      <c r="BO45" s="132"/>
      <c r="BP45" s="133"/>
      <c r="BQ45" s="39"/>
      <c r="BR45" s="40"/>
      <c r="BS45" s="40"/>
      <c r="BT45" s="40"/>
      <c r="BU45" s="40"/>
      <c r="BV45" s="40"/>
      <c r="BW45" s="40"/>
      <c r="BX45" s="40"/>
      <c r="BY45" s="40"/>
      <c r="BZ45" s="40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66"/>
      <c r="CQ45" s="67"/>
      <c r="CR45" s="67"/>
      <c r="CS45" s="67"/>
      <c r="CT45" s="67"/>
      <c r="CU45" s="67"/>
      <c r="CV45" s="123"/>
      <c r="CW45" s="56"/>
      <c r="CX45" s="56"/>
      <c r="CY45" s="56"/>
      <c r="CZ45" s="56"/>
      <c r="DA45" s="56"/>
      <c r="DB45" s="56"/>
      <c r="DC45" s="56"/>
      <c r="DD45" s="56"/>
      <c r="DE45" s="56"/>
      <c r="DF45" s="56"/>
    </row>
    <row r="46" spans="1:110" ht="7.5" customHeight="1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</row>
    <row r="47" spans="1:110" ht="12" customHeight="1" x14ac:dyDescent="0.2">
      <c r="A47" s="98" t="s">
        <v>135</v>
      </c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</row>
    <row r="48" spans="1:110" ht="6" customHeight="1" x14ac:dyDescent="0.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27"/>
      <c r="BU48" s="27"/>
      <c r="BV48" s="27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27"/>
      <c r="CH48" s="27"/>
      <c r="CI48" s="27"/>
      <c r="CJ48" s="27"/>
      <c r="CK48" s="27"/>
      <c r="CL48" s="27"/>
      <c r="CM48" s="27"/>
      <c r="CN48" s="27"/>
      <c r="CO48" s="27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</row>
    <row r="49" spans="1:110" ht="11.25" customHeight="1" x14ac:dyDescent="0.2">
      <c r="A49" s="17" t="s">
        <v>82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9"/>
      <c r="BF49" s="17" t="s">
        <v>83</v>
      </c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40" t="s">
        <v>132</v>
      </c>
      <c r="BU49" s="140"/>
      <c r="BV49" s="22" t="s">
        <v>133</v>
      </c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25"/>
      <c r="CH49" s="140" t="s">
        <v>39</v>
      </c>
      <c r="CI49" s="140"/>
      <c r="CJ49" s="22"/>
      <c r="CK49" s="25"/>
      <c r="CL49" s="22" t="s">
        <v>134</v>
      </c>
      <c r="CM49" s="25"/>
      <c r="CN49" s="25"/>
      <c r="CO49" s="25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</row>
    <row r="50" spans="1:110" ht="11.25" customHeight="1" x14ac:dyDescent="0.2">
      <c r="A50" s="16" t="s">
        <v>84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 t="s">
        <v>85</v>
      </c>
      <c r="AB50" s="16"/>
      <c r="AC50" s="16" t="s">
        <v>86</v>
      </c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20"/>
      <c r="BF50" s="134" t="s">
        <v>51</v>
      </c>
      <c r="BG50" s="139"/>
      <c r="BH50" s="21"/>
      <c r="BI50" s="22" t="s">
        <v>87</v>
      </c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140" t="s">
        <v>88</v>
      </c>
      <c r="BU50" s="140"/>
      <c r="BV50" s="22" t="s">
        <v>89</v>
      </c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140" t="s">
        <v>69</v>
      </c>
      <c r="CI50" s="140"/>
      <c r="CJ50" s="140"/>
      <c r="CK50" s="140"/>
      <c r="CL50" s="23" t="s">
        <v>90</v>
      </c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</row>
    <row r="51" spans="1:110" ht="11.25" customHeight="1" x14ac:dyDescent="0.2">
      <c r="A51" s="16" t="s">
        <v>120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 t="s">
        <v>85</v>
      </c>
      <c r="AB51" s="16"/>
      <c r="AC51" s="16" t="s">
        <v>86</v>
      </c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20"/>
      <c r="BF51" s="134" t="s">
        <v>38</v>
      </c>
      <c r="BG51" s="139"/>
      <c r="BH51" s="21"/>
      <c r="BI51" s="22" t="s">
        <v>91</v>
      </c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140" t="s">
        <v>92</v>
      </c>
      <c r="BU51" s="140"/>
      <c r="BV51" s="22" t="s">
        <v>93</v>
      </c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140" t="s">
        <v>94</v>
      </c>
      <c r="CI51" s="140"/>
      <c r="CJ51" s="140"/>
      <c r="CK51" s="140"/>
      <c r="CL51" s="22" t="s">
        <v>95</v>
      </c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</row>
    <row r="52" spans="1:110" ht="11.25" customHeight="1" x14ac:dyDescent="0.2">
      <c r="A52" s="16" t="s">
        <v>121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20"/>
      <c r="BF52" s="134" t="s">
        <v>80</v>
      </c>
      <c r="BG52" s="139"/>
      <c r="BH52" s="21"/>
      <c r="BI52" s="22" t="s">
        <v>96</v>
      </c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4" t="s">
        <v>66</v>
      </c>
      <c r="BU52" s="24"/>
      <c r="BV52" s="22" t="s">
        <v>97</v>
      </c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4" t="s">
        <v>98</v>
      </c>
      <c r="CI52" s="24"/>
      <c r="CJ52" s="24"/>
      <c r="CK52" s="24"/>
      <c r="CL52" s="22" t="s">
        <v>99</v>
      </c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</row>
    <row r="53" spans="1:110" ht="11.25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20"/>
      <c r="BF53" s="134" t="s">
        <v>100</v>
      </c>
      <c r="BG53" s="139"/>
      <c r="BH53" s="21"/>
      <c r="BI53" s="22" t="s">
        <v>101</v>
      </c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4" t="s">
        <v>67</v>
      </c>
      <c r="BU53" s="24"/>
      <c r="BV53" s="22" t="s">
        <v>102</v>
      </c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4" t="s">
        <v>103</v>
      </c>
      <c r="CI53" s="24"/>
      <c r="CJ53" s="24"/>
      <c r="CK53" s="24"/>
      <c r="CL53" s="22" t="s">
        <v>104</v>
      </c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</row>
    <row r="54" spans="1:110" ht="11.25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0"/>
      <c r="BF54" s="134" t="s">
        <v>81</v>
      </c>
      <c r="BG54" s="135"/>
      <c r="BH54" s="26"/>
      <c r="BI54" s="23" t="s">
        <v>105</v>
      </c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4" t="s">
        <v>68</v>
      </c>
      <c r="BU54" s="24"/>
      <c r="BV54" s="22" t="s">
        <v>106</v>
      </c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4" t="s">
        <v>107</v>
      </c>
      <c r="CI54" s="24"/>
      <c r="CJ54" s="24"/>
      <c r="CK54" s="24"/>
      <c r="CL54" s="22" t="s">
        <v>108</v>
      </c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</row>
    <row r="55" spans="1:110" ht="6" customHeight="1" x14ac:dyDescent="0.2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8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</row>
    <row r="56" spans="1:110" ht="12" customHeight="1" x14ac:dyDescent="0.2">
      <c r="A56" s="17" t="s">
        <v>109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</row>
    <row r="57" spans="1:110" ht="12" customHeight="1" x14ac:dyDescent="0.2">
      <c r="A57" s="22"/>
      <c r="B57" s="16" t="s">
        <v>110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</row>
    <row r="58" spans="1:110" ht="12" customHeight="1" x14ac:dyDescent="0.2">
      <c r="A58" s="22"/>
      <c r="B58" s="16" t="s">
        <v>111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</row>
    <row r="59" spans="1:110" ht="12" customHeight="1" x14ac:dyDescent="0.2">
      <c r="A59" s="22"/>
      <c r="B59" s="16" t="s">
        <v>112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</row>
    <row r="60" spans="1:110" ht="12" customHeight="1" x14ac:dyDescent="0.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</row>
    <row r="61" spans="1:110" ht="12" customHeight="1" x14ac:dyDescent="0.2">
      <c r="A61" s="16"/>
      <c r="B61" s="39"/>
      <c r="C61" s="41"/>
      <c r="D61" s="16" t="s">
        <v>113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 t="s">
        <v>85</v>
      </c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</row>
    <row r="62" spans="1:110" ht="3.75" customHeight="1" x14ac:dyDescent="0.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</row>
    <row r="63" spans="1:110" ht="12" customHeight="1" x14ac:dyDescent="0.2">
      <c r="A63" s="16"/>
      <c r="B63" s="29"/>
      <c r="C63" s="30"/>
      <c r="D63" s="16" t="s">
        <v>114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 t="s">
        <v>85</v>
      </c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</row>
    <row r="64" spans="1:110" ht="12" customHeight="1" x14ac:dyDescent="0.2">
      <c r="A64" s="31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36" t="s">
        <v>115</v>
      </c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37" t="s">
        <v>116</v>
      </c>
      <c r="CK64" s="137"/>
      <c r="CL64" s="137"/>
      <c r="CM64" s="137"/>
      <c r="CN64" s="137"/>
      <c r="CO64" s="137"/>
      <c r="CP64" s="137"/>
      <c r="CQ64" s="137"/>
      <c r="CR64" s="137"/>
      <c r="CS64" s="137"/>
      <c r="CT64" s="137"/>
      <c r="CU64" s="137"/>
      <c r="CV64" s="137"/>
      <c r="CW64" s="137"/>
      <c r="CX64" s="137"/>
      <c r="CY64" s="137"/>
      <c r="CZ64" s="137"/>
      <c r="DA64" s="137"/>
      <c r="DB64" s="137"/>
      <c r="DC64" s="137"/>
      <c r="DD64" s="137"/>
      <c r="DE64" s="137"/>
      <c r="DF64" s="137"/>
    </row>
    <row r="65" spans="1:110" ht="12" customHeight="1" x14ac:dyDescent="0.2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</row>
    <row r="66" spans="1:110" ht="10.5" customHeight="1" x14ac:dyDescent="0.2">
      <c r="A66" s="138" t="s">
        <v>117</v>
      </c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</row>
    <row r="67" spans="1:110" ht="10.5" customHeight="1" x14ac:dyDescent="0.2">
      <c r="A67" s="138" t="s">
        <v>118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  <c r="AX67" s="138"/>
      <c r="AY67" s="138"/>
      <c r="AZ67" s="138"/>
      <c r="BA67" s="138"/>
      <c r="BB67" s="138"/>
      <c r="BC67" s="138"/>
      <c r="BD67" s="138"/>
      <c r="BE67" s="138"/>
      <c r="BF67" s="138"/>
      <c r="BG67" s="138"/>
      <c r="BH67" s="138"/>
      <c r="BI67" s="138"/>
      <c r="BJ67" s="138"/>
      <c r="BK67" s="138"/>
      <c r="BL67" s="138"/>
      <c r="BM67" s="138"/>
      <c r="BN67" s="138"/>
      <c r="BO67" s="138"/>
      <c r="BP67" s="138"/>
      <c r="BQ67" s="138"/>
      <c r="BR67" s="138"/>
      <c r="BS67" s="138"/>
      <c r="BT67" s="138"/>
      <c r="BU67" s="138"/>
      <c r="BV67" s="138"/>
      <c r="BW67" s="138"/>
      <c r="BX67" s="138"/>
      <c r="BY67" s="138"/>
      <c r="BZ67" s="138"/>
      <c r="CA67" s="138"/>
      <c r="CB67" s="138"/>
      <c r="CC67" s="138"/>
      <c r="CD67" s="138"/>
      <c r="CE67" s="138"/>
      <c r="CF67" s="138"/>
      <c r="CG67" s="138"/>
      <c r="CH67" s="138"/>
      <c r="CI67" s="138"/>
      <c r="CJ67" s="138"/>
      <c r="CK67" s="138"/>
      <c r="CL67" s="138"/>
      <c r="CM67" s="138"/>
      <c r="CN67" s="138"/>
      <c r="CO67" s="138"/>
      <c r="CP67" s="138"/>
      <c r="CQ67" s="138"/>
      <c r="CR67" s="138"/>
      <c r="CS67" s="138"/>
      <c r="CT67" s="138"/>
      <c r="CU67" s="138"/>
      <c r="CV67" s="138"/>
      <c r="CW67" s="138"/>
      <c r="CX67" s="138"/>
      <c r="CY67" s="138"/>
      <c r="CZ67" s="138"/>
      <c r="DA67" s="138"/>
      <c r="DB67" s="138"/>
      <c r="DC67" s="138"/>
      <c r="DD67" s="138"/>
      <c r="DE67" s="138"/>
      <c r="DF67" s="138"/>
    </row>
    <row r="68" spans="1:110" ht="12" customHeight="1" x14ac:dyDescent="0.2"/>
    <row r="69" spans="1:110" ht="12" customHeight="1" x14ac:dyDescent="0.2"/>
    <row r="70" spans="1:110" ht="12" customHeight="1" x14ac:dyDescent="0.2"/>
    <row r="71" spans="1:110" ht="12" customHeight="1" x14ac:dyDescent="0.2"/>
    <row r="72" spans="1:110" ht="12" customHeight="1" x14ac:dyDescent="0.2"/>
    <row r="73" spans="1:110" ht="12" customHeight="1" x14ac:dyDescent="0.2"/>
    <row r="74" spans="1:110" ht="12" customHeight="1" x14ac:dyDescent="0.2"/>
    <row r="75" spans="1:110" ht="12" customHeight="1" x14ac:dyDescent="0.2"/>
    <row r="76" spans="1:110" ht="12" customHeight="1" x14ac:dyDescent="0.2"/>
    <row r="77" spans="1:110" ht="12" customHeight="1" x14ac:dyDescent="0.2"/>
    <row r="78" spans="1:110" ht="12" customHeight="1" x14ac:dyDescent="0.2"/>
    <row r="79" spans="1:110" ht="12" customHeight="1" x14ac:dyDescent="0.2"/>
    <row r="80" spans="1:11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</sheetData>
  <mergeCells count="461">
    <mergeCell ref="E39:N39"/>
    <mergeCell ref="E40:N40"/>
    <mergeCell ref="E41:N41"/>
    <mergeCell ref="E42:N42"/>
    <mergeCell ref="E43:N43"/>
    <mergeCell ref="E44:N44"/>
    <mergeCell ref="E45:N45"/>
    <mergeCell ref="BT49:BU49"/>
    <mergeCell ref="S39:T39"/>
    <mergeCell ref="S40:T40"/>
    <mergeCell ref="S41:T41"/>
    <mergeCell ref="S42:T42"/>
    <mergeCell ref="S43:T43"/>
    <mergeCell ref="S44:T44"/>
    <mergeCell ref="S45:T45"/>
    <mergeCell ref="O38:R38"/>
    <mergeCell ref="O39:R39"/>
    <mergeCell ref="O40:R40"/>
    <mergeCell ref="O41:R41"/>
    <mergeCell ref="O42:R42"/>
    <mergeCell ref="O43:R43"/>
    <mergeCell ref="O44:R44"/>
    <mergeCell ref="O45:R45"/>
    <mergeCell ref="BF54:BG54"/>
    <mergeCell ref="B61:C61"/>
    <mergeCell ref="P64:AM64"/>
    <mergeCell ref="CJ64:DF64"/>
    <mergeCell ref="A66:DF66"/>
    <mergeCell ref="A67:DF67"/>
    <mergeCell ref="A47:DF47"/>
    <mergeCell ref="BF50:BG50"/>
    <mergeCell ref="BT50:BU50"/>
    <mergeCell ref="CH50:CK50"/>
    <mergeCell ref="BF51:BG51"/>
    <mergeCell ref="BT51:BU51"/>
    <mergeCell ref="CH51:CK51"/>
    <mergeCell ref="BF52:BG52"/>
    <mergeCell ref="BF53:BG53"/>
    <mergeCell ref="CH49:CI49"/>
    <mergeCell ref="CK45:CO45"/>
    <mergeCell ref="CP45:CU45"/>
    <mergeCell ref="CV45:DF45"/>
    <mergeCell ref="AK45:AQ45"/>
    <mergeCell ref="AR45:AX45"/>
    <mergeCell ref="AY45:BA45"/>
    <mergeCell ref="BB45:BF45"/>
    <mergeCell ref="BG45:BK45"/>
    <mergeCell ref="BL45:BP45"/>
    <mergeCell ref="A45:D45"/>
    <mergeCell ref="U45:V45"/>
    <mergeCell ref="W45:AC45"/>
    <mergeCell ref="AD45:AJ45"/>
    <mergeCell ref="BQ44:BZ44"/>
    <mergeCell ref="CA44:CE44"/>
    <mergeCell ref="CF44:CJ44"/>
    <mergeCell ref="A44:D44"/>
    <mergeCell ref="U44:V44"/>
    <mergeCell ref="W44:AC44"/>
    <mergeCell ref="AD44:AJ44"/>
    <mergeCell ref="BQ45:BZ45"/>
    <mergeCell ref="CA45:CE45"/>
    <mergeCell ref="CF45:CJ45"/>
    <mergeCell ref="CK44:CO44"/>
    <mergeCell ref="CP44:CU44"/>
    <mergeCell ref="CV44:DF44"/>
    <mergeCell ref="AK44:AQ44"/>
    <mergeCell ref="AR44:AX44"/>
    <mergeCell ref="AY44:BA44"/>
    <mergeCell ref="BB44:BF44"/>
    <mergeCell ref="BG44:BK44"/>
    <mergeCell ref="BL44:BP44"/>
    <mergeCell ref="CK43:CO43"/>
    <mergeCell ref="CP43:CU43"/>
    <mergeCell ref="CV43:DF43"/>
    <mergeCell ref="AK43:AQ43"/>
    <mergeCell ref="AR43:AX43"/>
    <mergeCell ref="AY43:BA43"/>
    <mergeCell ref="BB43:BF43"/>
    <mergeCell ref="BG43:BK43"/>
    <mergeCell ref="BL43:BP43"/>
    <mergeCell ref="A43:D43"/>
    <mergeCell ref="U43:V43"/>
    <mergeCell ref="W43:AC43"/>
    <mergeCell ref="AD43:AJ43"/>
    <mergeCell ref="BQ42:BZ42"/>
    <mergeCell ref="CA42:CE42"/>
    <mergeCell ref="CF42:CJ42"/>
    <mergeCell ref="BQ43:BZ43"/>
    <mergeCell ref="CA43:CE43"/>
    <mergeCell ref="CF43:CJ43"/>
    <mergeCell ref="CP41:CU41"/>
    <mergeCell ref="CV41:DF41"/>
    <mergeCell ref="A42:D42"/>
    <mergeCell ref="U42:V42"/>
    <mergeCell ref="W42:AC42"/>
    <mergeCell ref="AD42:AJ42"/>
    <mergeCell ref="AK41:AQ41"/>
    <mergeCell ref="AR41:AX41"/>
    <mergeCell ref="AY41:BA41"/>
    <mergeCell ref="BB41:BP41"/>
    <mergeCell ref="BQ41:BZ41"/>
    <mergeCell ref="CA41:CE41"/>
    <mergeCell ref="CK42:CO42"/>
    <mergeCell ref="CP42:CU42"/>
    <mergeCell ref="CV42:DF42"/>
    <mergeCell ref="AK42:AQ42"/>
    <mergeCell ref="AR42:AX42"/>
    <mergeCell ref="AY42:BA42"/>
    <mergeCell ref="BB42:BF42"/>
    <mergeCell ref="BG42:BK42"/>
    <mergeCell ref="BL42:BP42"/>
    <mergeCell ref="CF40:CJ40"/>
    <mergeCell ref="CK40:CO40"/>
    <mergeCell ref="CP40:CU40"/>
    <mergeCell ref="CV40:DF40"/>
    <mergeCell ref="A41:D41"/>
    <mergeCell ref="U41:V41"/>
    <mergeCell ref="W41:AC41"/>
    <mergeCell ref="AD41:AJ41"/>
    <mergeCell ref="AK40:AQ40"/>
    <mergeCell ref="AR40:AX40"/>
    <mergeCell ref="AY40:BA40"/>
    <mergeCell ref="BB40:BP40"/>
    <mergeCell ref="BQ40:BZ40"/>
    <mergeCell ref="CA40:CE40"/>
    <mergeCell ref="A40:D40"/>
    <mergeCell ref="U40:V40"/>
    <mergeCell ref="W40:AC40"/>
    <mergeCell ref="AD40:AJ40"/>
    <mergeCell ref="CF41:CJ41"/>
    <mergeCell ref="CK41:CO41"/>
    <mergeCell ref="CV38:DF38"/>
    <mergeCell ref="A39:D39"/>
    <mergeCell ref="U39:V39"/>
    <mergeCell ref="W39:AC39"/>
    <mergeCell ref="AD39:AJ39"/>
    <mergeCell ref="BQ39:BZ39"/>
    <mergeCell ref="CA39:CE39"/>
    <mergeCell ref="CF39:CJ39"/>
    <mergeCell ref="CK39:CO39"/>
    <mergeCell ref="CP39:CU39"/>
    <mergeCell ref="CV39:DF39"/>
    <mergeCell ref="AK39:AQ39"/>
    <mergeCell ref="AR39:AX39"/>
    <mergeCell ref="AY39:BA39"/>
    <mergeCell ref="BB39:BF39"/>
    <mergeCell ref="BG39:BK39"/>
    <mergeCell ref="BL39:BP39"/>
    <mergeCell ref="A38:D38"/>
    <mergeCell ref="U38:V38"/>
    <mergeCell ref="W38:AC38"/>
    <mergeCell ref="AD38:AJ38"/>
    <mergeCell ref="AK38:AQ38"/>
    <mergeCell ref="AR38:AX38"/>
    <mergeCell ref="AY38:BP38"/>
    <mergeCell ref="A36:AX36"/>
    <mergeCell ref="AY36:BP37"/>
    <mergeCell ref="BQ36:CU36"/>
    <mergeCell ref="BQ38:BZ38"/>
    <mergeCell ref="CA38:CU38"/>
    <mergeCell ref="S38:T38"/>
    <mergeCell ref="L37:AJ37"/>
    <mergeCell ref="E38:N38"/>
    <mergeCell ref="CV36:DF36"/>
    <mergeCell ref="AK37:AX37"/>
    <mergeCell ref="BQ37:CD37"/>
    <mergeCell ref="CE37:CU37"/>
    <mergeCell ref="CV37:DF37"/>
    <mergeCell ref="A34:DF34"/>
    <mergeCell ref="AR32:AW32"/>
    <mergeCell ref="AX32:BC32"/>
    <mergeCell ref="BD32:BI32"/>
    <mergeCell ref="BJ32:BO32"/>
    <mergeCell ref="BP32:BU32"/>
    <mergeCell ref="BV32:CA32"/>
    <mergeCell ref="BT35:BU35"/>
    <mergeCell ref="CI35:CJ35"/>
    <mergeCell ref="CT31:CY31"/>
    <mergeCell ref="CZ31:DF31"/>
    <mergeCell ref="A32:D32"/>
    <mergeCell ref="E32:O32"/>
    <mergeCell ref="P32:S32"/>
    <mergeCell ref="T32:Y32"/>
    <mergeCell ref="Z32:AE32"/>
    <mergeCell ref="AF32:AK32"/>
    <mergeCell ref="AL32:AQ32"/>
    <mergeCell ref="BD31:BI31"/>
    <mergeCell ref="BJ31:BO31"/>
    <mergeCell ref="BP31:BU31"/>
    <mergeCell ref="BV31:CA31"/>
    <mergeCell ref="CB31:CG31"/>
    <mergeCell ref="CH31:CM31"/>
    <mergeCell ref="CB32:CG32"/>
    <mergeCell ref="CH32:CM32"/>
    <mergeCell ref="CN32:CS32"/>
    <mergeCell ref="CT32:CY32"/>
    <mergeCell ref="CZ32:DF32"/>
    <mergeCell ref="BV29:CA29"/>
    <mergeCell ref="CZ30:DF30"/>
    <mergeCell ref="A31:D31"/>
    <mergeCell ref="E31:O31"/>
    <mergeCell ref="P31:S31"/>
    <mergeCell ref="T31:Y31"/>
    <mergeCell ref="Z31:AE31"/>
    <mergeCell ref="AF31:AK31"/>
    <mergeCell ref="AL31:AQ31"/>
    <mergeCell ref="AR31:AW31"/>
    <mergeCell ref="AX31:BC31"/>
    <mergeCell ref="BP30:BU30"/>
    <mergeCell ref="BV30:CA30"/>
    <mergeCell ref="CB30:CG30"/>
    <mergeCell ref="CH30:CM30"/>
    <mergeCell ref="CN30:CS30"/>
    <mergeCell ref="CT30:CY30"/>
    <mergeCell ref="AF30:AK30"/>
    <mergeCell ref="AL30:AQ30"/>
    <mergeCell ref="AR30:AW30"/>
    <mergeCell ref="AX30:BC30"/>
    <mergeCell ref="BD30:BI30"/>
    <mergeCell ref="BJ30:BO30"/>
    <mergeCell ref="CN31:CS31"/>
    <mergeCell ref="A30:D30"/>
    <mergeCell ref="E30:O30"/>
    <mergeCell ref="P30:S30"/>
    <mergeCell ref="T30:Y30"/>
    <mergeCell ref="Z30:AE30"/>
    <mergeCell ref="AR29:AW29"/>
    <mergeCell ref="AX29:BC29"/>
    <mergeCell ref="BD29:BI29"/>
    <mergeCell ref="BJ29:BO29"/>
    <mergeCell ref="BD27:BI27"/>
    <mergeCell ref="BJ27:BO27"/>
    <mergeCell ref="CN28:CS28"/>
    <mergeCell ref="CT28:CY28"/>
    <mergeCell ref="CZ28:DF28"/>
    <mergeCell ref="A29:D29"/>
    <mergeCell ref="E29:O29"/>
    <mergeCell ref="P29:S29"/>
    <mergeCell ref="T29:Y29"/>
    <mergeCell ref="Z29:AE29"/>
    <mergeCell ref="AF29:AK29"/>
    <mergeCell ref="AL29:AQ29"/>
    <mergeCell ref="BD28:BI28"/>
    <mergeCell ref="BJ28:BO28"/>
    <mergeCell ref="BP28:BU28"/>
    <mergeCell ref="BV28:CA28"/>
    <mergeCell ref="CB28:CG28"/>
    <mergeCell ref="CH28:CM28"/>
    <mergeCell ref="CB29:CG29"/>
    <mergeCell ref="CH29:CM29"/>
    <mergeCell ref="CN29:CS29"/>
    <mergeCell ref="CT29:CY29"/>
    <mergeCell ref="CZ29:DF29"/>
    <mergeCell ref="BP29:BU29"/>
    <mergeCell ref="A28:D28"/>
    <mergeCell ref="E28:O28"/>
    <mergeCell ref="P28:S28"/>
    <mergeCell ref="T28:Y28"/>
    <mergeCell ref="Z28:AE28"/>
    <mergeCell ref="AF28:AK28"/>
    <mergeCell ref="AL28:AQ28"/>
    <mergeCell ref="AR28:AW28"/>
    <mergeCell ref="AX28:BC28"/>
    <mergeCell ref="CT26:CY26"/>
    <mergeCell ref="CZ26:DF26"/>
    <mergeCell ref="A27:D27"/>
    <mergeCell ref="E27:O27"/>
    <mergeCell ref="P27:S27"/>
    <mergeCell ref="T27:Y27"/>
    <mergeCell ref="Z27:AE27"/>
    <mergeCell ref="AR26:AW26"/>
    <mergeCell ref="AX26:BC26"/>
    <mergeCell ref="BD26:BI26"/>
    <mergeCell ref="BJ26:BO26"/>
    <mergeCell ref="BP26:BU26"/>
    <mergeCell ref="BV26:CA26"/>
    <mergeCell ref="CZ27:DF27"/>
    <mergeCell ref="BP27:BU27"/>
    <mergeCell ref="BV27:CA27"/>
    <mergeCell ref="CB27:CG27"/>
    <mergeCell ref="CH27:CM27"/>
    <mergeCell ref="CN27:CS27"/>
    <mergeCell ref="CT27:CY27"/>
    <mergeCell ref="AF27:AK27"/>
    <mergeCell ref="AL27:AQ27"/>
    <mergeCell ref="AR27:AW27"/>
    <mergeCell ref="AX27:BC27"/>
    <mergeCell ref="AL24:AQ24"/>
    <mergeCell ref="AR24:AW24"/>
    <mergeCell ref="AX24:BC24"/>
    <mergeCell ref="BD24:BI24"/>
    <mergeCell ref="BJ24:BO24"/>
    <mergeCell ref="CN25:CS25"/>
    <mergeCell ref="CT25:CY25"/>
    <mergeCell ref="CZ25:DF25"/>
    <mergeCell ref="A26:D26"/>
    <mergeCell ref="E26:O26"/>
    <mergeCell ref="P26:S26"/>
    <mergeCell ref="T26:Y26"/>
    <mergeCell ref="Z26:AE26"/>
    <mergeCell ref="AF26:AK26"/>
    <mergeCell ref="AL26:AQ26"/>
    <mergeCell ref="BD25:BI25"/>
    <mergeCell ref="BJ25:BO25"/>
    <mergeCell ref="BP25:BU25"/>
    <mergeCell ref="BV25:CA25"/>
    <mergeCell ref="CB25:CG25"/>
    <mergeCell ref="CH25:CM25"/>
    <mergeCell ref="CB26:CG26"/>
    <mergeCell ref="CH26:CM26"/>
    <mergeCell ref="CN26:CS26"/>
    <mergeCell ref="A25:D25"/>
    <mergeCell ref="E25:O25"/>
    <mergeCell ref="P25:S25"/>
    <mergeCell ref="T25:Y25"/>
    <mergeCell ref="Z25:AE25"/>
    <mergeCell ref="AF25:AK25"/>
    <mergeCell ref="AL25:AQ25"/>
    <mergeCell ref="AR25:AW25"/>
    <mergeCell ref="AX25:BC25"/>
    <mergeCell ref="CB23:CG23"/>
    <mergeCell ref="CH23:CM23"/>
    <mergeCell ref="CN23:CS23"/>
    <mergeCell ref="CT23:CY23"/>
    <mergeCell ref="CZ23:DF23"/>
    <mergeCell ref="A24:D24"/>
    <mergeCell ref="E24:O24"/>
    <mergeCell ref="P24:S24"/>
    <mergeCell ref="T24:Y24"/>
    <mergeCell ref="Z24:AE24"/>
    <mergeCell ref="AR23:AW23"/>
    <mergeCell ref="AX23:BC23"/>
    <mergeCell ref="BD23:BI23"/>
    <mergeCell ref="BJ23:BO23"/>
    <mergeCell ref="BP23:BU23"/>
    <mergeCell ref="BV23:CA23"/>
    <mergeCell ref="CZ24:DF24"/>
    <mergeCell ref="BP24:BU24"/>
    <mergeCell ref="BV24:CA24"/>
    <mergeCell ref="CB24:CG24"/>
    <mergeCell ref="CH24:CM24"/>
    <mergeCell ref="CN24:CS24"/>
    <mergeCell ref="CT24:CY24"/>
    <mergeCell ref="AF24:AK24"/>
    <mergeCell ref="A23:D23"/>
    <mergeCell ref="E23:O23"/>
    <mergeCell ref="P23:S23"/>
    <mergeCell ref="T23:Y23"/>
    <mergeCell ref="Z23:AE23"/>
    <mergeCell ref="AF23:AK23"/>
    <mergeCell ref="AL23:AQ23"/>
    <mergeCell ref="BD22:BI22"/>
    <mergeCell ref="BJ22:BO22"/>
    <mergeCell ref="A21:DF21"/>
    <mergeCell ref="A22:D22"/>
    <mergeCell ref="E22:O22"/>
    <mergeCell ref="P22:S22"/>
    <mergeCell ref="T22:Y22"/>
    <mergeCell ref="Z22:AE22"/>
    <mergeCell ref="AF22:AK22"/>
    <mergeCell ref="AL22:AQ22"/>
    <mergeCell ref="AR22:AW22"/>
    <mergeCell ref="AX22:BC22"/>
    <mergeCell ref="CN22:CS22"/>
    <mergeCell ref="CT22:CY22"/>
    <mergeCell ref="CZ22:DF22"/>
    <mergeCell ref="BP22:BU22"/>
    <mergeCell ref="BV22:CA22"/>
    <mergeCell ref="CB22:CG22"/>
    <mergeCell ref="CH22:CM22"/>
    <mergeCell ref="BP19:BV19"/>
    <mergeCell ref="BW19:CC19"/>
    <mergeCell ref="CD19:CH19"/>
    <mergeCell ref="CI19:CS19"/>
    <mergeCell ref="CT19:DF19"/>
    <mergeCell ref="A20:DF20"/>
    <mergeCell ref="A19:D19"/>
    <mergeCell ref="E19:Z19"/>
    <mergeCell ref="AA19:AL19"/>
    <mergeCell ref="AM19:AX19"/>
    <mergeCell ref="AY19:BF19"/>
    <mergeCell ref="BG19:BO19"/>
    <mergeCell ref="BG18:BO18"/>
    <mergeCell ref="BP18:BV18"/>
    <mergeCell ref="BW18:CC18"/>
    <mergeCell ref="CD18:CH18"/>
    <mergeCell ref="CI18:CS18"/>
    <mergeCell ref="CT18:DF18"/>
    <mergeCell ref="BP17:BV17"/>
    <mergeCell ref="BW17:CC17"/>
    <mergeCell ref="CD17:CH17"/>
    <mergeCell ref="CI17:CS17"/>
    <mergeCell ref="CT17:DF17"/>
    <mergeCell ref="BG17:BO17"/>
    <mergeCell ref="A18:D18"/>
    <mergeCell ref="E18:Z18"/>
    <mergeCell ref="AA18:AL18"/>
    <mergeCell ref="AM18:AX18"/>
    <mergeCell ref="AY18:BF18"/>
    <mergeCell ref="A17:D17"/>
    <mergeCell ref="E17:Z17"/>
    <mergeCell ref="AA17:AL17"/>
    <mergeCell ref="AM17:AX17"/>
    <mergeCell ref="AY17:BF17"/>
    <mergeCell ref="BG16:BO16"/>
    <mergeCell ref="BP16:BV16"/>
    <mergeCell ref="BW16:CC16"/>
    <mergeCell ref="CD16:CH16"/>
    <mergeCell ref="CI16:CS16"/>
    <mergeCell ref="CT16:DF16"/>
    <mergeCell ref="BP15:BV15"/>
    <mergeCell ref="BW15:CC15"/>
    <mergeCell ref="CD15:CH15"/>
    <mergeCell ref="CI15:CS15"/>
    <mergeCell ref="CT15:DF15"/>
    <mergeCell ref="BG15:BO15"/>
    <mergeCell ref="A16:D16"/>
    <mergeCell ref="E16:Z16"/>
    <mergeCell ref="AA16:AL16"/>
    <mergeCell ref="AM16:AX16"/>
    <mergeCell ref="AY16:BF16"/>
    <mergeCell ref="A15:D15"/>
    <mergeCell ref="E15:Z15"/>
    <mergeCell ref="AA15:AL15"/>
    <mergeCell ref="AM15:AX15"/>
    <mergeCell ref="AY15:BF15"/>
    <mergeCell ref="A13:DF13"/>
    <mergeCell ref="A14:D14"/>
    <mergeCell ref="E14:Z14"/>
    <mergeCell ref="AA14:AL14"/>
    <mergeCell ref="AM14:AX14"/>
    <mergeCell ref="AY14:CC14"/>
    <mergeCell ref="CD14:CH14"/>
    <mergeCell ref="CI14:CS14"/>
    <mergeCell ref="CT14:DF14"/>
    <mergeCell ref="B11:T11"/>
    <mergeCell ref="U11:BC11"/>
    <mergeCell ref="BE11:BS11"/>
    <mergeCell ref="BT11:DF11"/>
    <mergeCell ref="B12:T12"/>
    <mergeCell ref="U12:BC12"/>
    <mergeCell ref="BE12:BS12"/>
    <mergeCell ref="BT12:DF12"/>
    <mergeCell ref="B9:T9"/>
    <mergeCell ref="U9:BC9"/>
    <mergeCell ref="BE9:BS9"/>
    <mergeCell ref="BT9:DF9"/>
    <mergeCell ref="B10:T10"/>
    <mergeCell ref="U10:BC10"/>
    <mergeCell ref="BE10:BS10"/>
    <mergeCell ref="BT10:DF10"/>
    <mergeCell ref="BW4:DE4"/>
    <mergeCell ref="AB5:CF5"/>
    <mergeCell ref="AB6:CF6"/>
    <mergeCell ref="A7:DF7"/>
    <mergeCell ref="B8:T8"/>
    <mergeCell ref="U8:BC8"/>
    <mergeCell ref="BE8:BS8"/>
    <mergeCell ref="BT8:CN8"/>
    <mergeCell ref="CO8:CT8"/>
    <mergeCell ref="CU8:DF8"/>
  </mergeCells>
  <pageMargins left="0.52" right="0.38" top="0.31" bottom="0.6" header="0.3" footer="0.41"/>
  <pageSetup paperSize="9" orientation="portrait" verticalDpi="1200" r:id="rId1"/>
  <headerFooter>
    <oddFooter>&amp;L&amp;8Format: NPFI/QC/001-Rev.0&amp;C&amp;9Page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A234 WPB+NACE</vt:lpstr>
      <vt:lpstr>'A234 WPB+NACE'!Print_Area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2026-03-14T11:24:41Z</dcterms:modified>
</cp:coreProperties>
</file>