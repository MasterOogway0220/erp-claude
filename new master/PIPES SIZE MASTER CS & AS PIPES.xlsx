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C.S. &amp; AS PI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7" i="1" l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2" i="1"/>
</calcChain>
</file>

<file path=xl/sharedStrings.xml><?xml version="1.0" encoding="utf-8"?>
<sst xmlns="http://schemas.openxmlformats.org/spreadsheetml/2006/main" count="195" uniqueCount="195">
  <si>
    <t>OD
(mm)</t>
  </si>
  <si>
    <t>W.T.
(mm)</t>
  </si>
  <si>
    <t>Weight 
(kg/m)</t>
  </si>
  <si>
    <t>Size</t>
  </si>
  <si>
    <t>1"NB X SCH 10</t>
  </si>
  <si>
    <t>1"NB X SCH STD</t>
  </si>
  <si>
    <t>1"NB X SCH 40</t>
  </si>
  <si>
    <t>1"NB X SCH XS</t>
  </si>
  <si>
    <t>1"NB X SCH 80</t>
  </si>
  <si>
    <t>1"NB X SCH 160</t>
  </si>
  <si>
    <t>1"NB X SCH XXS</t>
  </si>
  <si>
    <t>1.25"NB X SCH 10</t>
  </si>
  <si>
    <t>1.25"NB X SCH STD</t>
  </si>
  <si>
    <t>1.25"NB X SCH 40</t>
  </si>
  <si>
    <t>1.25"NB X SCH XS</t>
  </si>
  <si>
    <t>1.25"NB X SCH 80</t>
  </si>
  <si>
    <t>1.25"NB X SCH 160</t>
  </si>
  <si>
    <t>1.25"NB X SCH XXS</t>
  </si>
  <si>
    <t>1.5"NB X SCH 10</t>
  </si>
  <si>
    <t>1.5"NB X SCH STD</t>
  </si>
  <si>
    <t>1.5"NB X SCH 40</t>
  </si>
  <si>
    <t>1.5"NB X SCH XS</t>
  </si>
  <si>
    <t>1.5"NB X SCH 80</t>
  </si>
  <si>
    <t>1.5"NB X SCH 160</t>
  </si>
  <si>
    <t>1.5"NB X SCH XXS</t>
  </si>
  <si>
    <t>2"NB X SCH 10</t>
  </si>
  <si>
    <t>2"NB X SCH STD</t>
  </si>
  <si>
    <t>2"NB X SCH 40</t>
  </si>
  <si>
    <t>2"NB X SCH XS</t>
  </si>
  <si>
    <t>2"NB X SCH 80</t>
  </si>
  <si>
    <t>2"NB X SCH 160</t>
  </si>
  <si>
    <t>2"NB X SCH XXS</t>
  </si>
  <si>
    <t>2.5"NB X SCH 10</t>
  </si>
  <si>
    <t>2.5"NB X SCH STD</t>
  </si>
  <si>
    <t>2.5"NB X SCH 40</t>
  </si>
  <si>
    <t>2.5"NB X SCH XS</t>
  </si>
  <si>
    <t>2.5"NB X SCH 80</t>
  </si>
  <si>
    <t>2.5"NB X SCH 160</t>
  </si>
  <si>
    <t>2.5"NB X SCH XXS</t>
  </si>
  <si>
    <t>3"NB X SCH 10</t>
  </si>
  <si>
    <t>3"NB X SCH STD</t>
  </si>
  <si>
    <t>3"NB X SCH 40</t>
  </si>
  <si>
    <t>3"NB X SCH XS</t>
  </si>
  <si>
    <t>3"NB X SCH 80</t>
  </si>
  <si>
    <t>3"NB X SCH 160</t>
  </si>
  <si>
    <t>3"NB X SCH XXS</t>
  </si>
  <si>
    <t>4"NB X SCH 10</t>
  </si>
  <si>
    <t>4"NB X SCH STD</t>
  </si>
  <si>
    <t>4"NB X SCH 40</t>
  </si>
  <si>
    <t>4"NB X SCH XS</t>
  </si>
  <si>
    <t>4"NB X SCH 80</t>
  </si>
  <si>
    <t>4"NB X SCH 120</t>
  </si>
  <si>
    <t>4"NB X SCH 160</t>
  </si>
  <si>
    <t>4"NB X SCH XXS</t>
  </si>
  <si>
    <t>5"NB X SCH 10</t>
  </si>
  <si>
    <t>5"NB X SCH STD</t>
  </si>
  <si>
    <t>5"NB X SCH 40</t>
  </si>
  <si>
    <t>5"NB X SCH XS</t>
  </si>
  <si>
    <t>5"NB X SCH 80</t>
  </si>
  <si>
    <t>5"NB X SCH 120</t>
  </si>
  <si>
    <t>5"NB X SCH 160</t>
  </si>
  <si>
    <t>5"NB X SCH XXS</t>
  </si>
  <si>
    <t>6"NB X SCH 10</t>
  </si>
  <si>
    <t>6"NB X SCH STD</t>
  </si>
  <si>
    <t>6"NB X SCH 40</t>
  </si>
  <si>
    <t>6"NB X SCH XS</t>
  </si>
  <si>
    <t>6"NB X SCH 80</t>
  </si>
  <si>
    <t>6"NB X SCH 120</t>
  </si>
  <si>
    <t>6"NB X SCH 160</t>
  </si>
  <si>
    <t>6"NB X SCH XXS</t>
  </si>
  <si>
    <t>8"NB X SCH 10</t>
  </si>
  <si>
    <t>8"NB X SCH 20</t>
  </si>
  <si>
    <t>8"NB X SCH 30</t>
  </si>
  <si>
    <t>8"NB X SCH STD</t>
  </si>
  <si>
    <t>8"NB X SCH 40</t>
  </si>
  <si>
    <t>8"NB X SCH 60</t>
  </si>
  <si>
    <t>8"NB X SCH XS</t>
  </si>
  <si>
    <t>8"NB X SCH 80</t>
  </si>
  <si>
    <t>8"NB X SCH 100</t>
  </si>
  <si>
    <t>8"NB X SCH 120</t>
  </si>
  <si>
    <t>8"NB X SCH 140</t>
  </si>
  <si>
    <t>8"NB X SCH 160</t>
  </si>
  <si>
    <t>8"NB X SCH XXS</t>
  </si>
  <si>
    <t>10"NB X SCH 10</t>
  </si>
  <si>
    <t>10"NB X SCH 20</t>
  </si>
  <si>
    <t>10"NB X SCH 30</t>
  </si>
  <si>
    <t>10"NB X SCH STD</t>
  </si>
  <si>
    <t>10"NB X SCH 40</t>
  </si>
  <si>
    <t>10"NB X SCH 60</t>
  </si>
  <si>
    <t>10"NB X SCH XS</t>
  </si>
  <si>
    <t>10"NB X SCH 80</t>
  </si>
  <si>
    <t>10"NB X SCH 100</t>
  </si>
  <si>
    <t>10"NB X SCH 120</t>
  </si>
  <si>
    <t>10"NB X SCH 140</t>
  </si>
  <si>
    <t>10"NB X SCH 160</t>
  </si>
  <si>
    <t>10"NB X SCH XXS</t>
  </si>
  <si>
    <t>12"NB X SCH 10</t>
  </si>
  <si>
    <t>12"NB X SCH 20</t>
  </si>
  <si>
    <t>12"NB X SCH 30</t>
  </si>
  <si>
    <t>12"NB X SCH STD</t>
  </si>
  <si>
    <t>12"NB X SCH 40</t>
  </si>
  <si>
    <t>12"NB X SCH 60</t>
  </si>
  <si>
    <t>12"NB X SCH XS</t>
  </si>
  <si>
    <t>12"NB X SCH 80</t>
  </si>
  <si>
    <t>12"NB X SCH 100</t>
  </si>
  <si>
    <t>12"NB X SCH 120</t>
  </si>
  <si>
    <t>12"NB X SCH 140</t>
  </si>
  <si>
    <t>12"NB X SCH 160</t>
  </si>
  <si>
    <t>12"NB X SCH XXS</t>
  </si>
  <si>
    <t>14"NB X SCH 10</t>
  </si>
  <si>
    <t>14"NB X SCH 20</t>
  </si>
  <si>
    <t>14"NB X SCH 30</t>
  </si>
  <si>
    <t>14"NB X SCH STD</t>
  </si>
  <si>
    <t>14"NB X SCH 40</t>
  </si>
  <si>
    <t>14"NB X SCH 60</t>
  </si>
  <si>
    <t>14"NB X SCH XS</t>
  </si>
  <si>
    <t>14"NB X SCH 80</t>
  </si>
  <si>
    <t>14"NB X SCH 100</t>
  </si>
  <si>
    <t>14"NB X SCH 120</t>
  </si>
  <si>
    <t>14"NB X SCH 140</t>
  </si>
  <si>
    <t>14"NB X SCH 160</t>
  </si>
  <si>
    <t>16"NB X SCH 10</t>
  </si>
  <si>
    <t>16"NB X SCH 20</t>
  </si>
  <si>
    <t>16"NB X SCH 30</t>
  </si>
  <si>
    <t>16"NB X SCH STD</t>
  </si>
  <si>
    <t>16"NB X SCH 40</t>
  </si>
  <si>
    <t>16"NB X SCH 60</t>
  </si>
  <si>
    <t>16"NB X SCH XS</t>
  </si>
  <si>
    <t>16"NB X SCH 80</t>
  </si>
  <si>
    <t>16"NB X SCH 100</t>
  </si>
  <si>
    <t>16"NB X SCH 120</t>
  </si>
  <si>
    <t>16"NB X SCH 140</t>
  </si>
  <si>
    <t>16"NB X SCH 160</t>
  </si>
  <si>
    <t>18"NB X SCH 10</t>
  </si>
  <si>
    <t>18"NB X SCH 20</t>
  </si>
  <si>
    <t>18"NB X SCH 30</t>
  </si>
  <si>
    <t>18"NB X SCH STD</t>
  </si>
  <si>
    <t>18"NB X SCH 40</t>
  </si>
  <si>
    <t>18"NB X SCH 60</t>
  </si>
  <si>
    <t>18"NB X SCH XS</t>
  </si>
  <si>
    <t>18"NB X SCH 80</t>
  </si>
  <si>
    <t>18"NB X SCH 100</t>
  </si>
  <si>
    <t>18"NB X SCH 120</t>
  </si>
  <si>
    <t>18"NB X SCH 140</t>
  </si>
  <si>
    <t>18"NB X SCH 160</t>
  </si>
  <si>
    <t>20"NB X SCH 10</t>
  </si>
  <si>
    <t>20"NB X SCH 20</t>
  </si>
  <si>
    <t>20"NB X SCH 30</t>
  </si>
  <si>
    <t>20"NB X SCH STD</t>
  </si>
  <si>
    <t>20"NB X SCH 40</t>
  </si>
  <si>
    <t>20"NB X SCH 60</t>
  </si>
  <si>
    <t>20"NB X SCH XS</t>
  </si>
  <si>
    <t>20"NB X SCH 80</t>
  </si>
  <si>
    <t>20"NB X SCH 100</t>
  </si>
  <si>
    <t>20"NB X SCH 120</t>
  </si>
  <si>
    <t>20"NB X SCH 140</t>
  </si>
  <si>
    <t>20"NB X SCH 160</t>
  </si>
  <si>
    <t>22"NB X SCH 10</t>
  </si>
  <si>
    <t>22"NB X SCH 20</t>
  </si>
  <si>
    <t>22"NB X SCH 30</t>
  </si>
  <si>
    <t>22"NB X SCH STD</t>
  </si>
  <si>
    <t>22"NB X SCH 40</t>
  </si>
  <si>
    <t>22"NB X SCH 60</t>
  </si>
  <si>
    <t>22"NB X SCH XS</t>
  </si>
  <si>
    <t>22"NB X SCH 80</t>
  </si>
  <si>
    <t>22"NB X SCH 100</t>
  </si>
  <si>
    <t>22"NB X SCH 120</t>
  </si>
  <si>
    <t>22"NB X SCH 140</t>
  </si>
  <si>
    <t>22"NB X SCH 160</t>
  </si>
  <si>
    <t>24"NB X SCH 10</t>
  </si>
  <si>
    <t>24"NB X SCH 20</t>
  </si>
  <si>
    <t>24"NB X SCH 30</t>
  </si>
  <si>
    <t>24"NB X SCH STD</t>
  </si>
  <si>
    <t>24"NB X SCH 40</t>
  </si>
  <si>
    <t>24"NB X SCH 60</t>
  </si>
  <si>
    <t>24"NB X SCH XS</t>
  </si>
  <si>
    <t>24"NB X SCH 80</t>
  </si>
  <si>
    <t>24"NB X SCH 100</t>
  </si>
  <si>
    <t>24"NB X SCH 120</t>
  </si>
  <si>
    <t>24"NB X SCH 140</t>
  </si>
  <si>
    <t>24"NB X SCH 160</t>
  </si>
  <si>
    <t>0.75"NB X SCH 10</t>
  </si>
  <si>
    <t>0.75"NB X SCH STD</t>
  </si>
  <si>
    <t>0.75"NB X SCH 40</t>
  </si>
  <si>
    <t>0.75"NB X SCH XS</t>
  </si>
  <si>
    <t>0.75"NB X SCH 80</t>
  </si>
  <si>
    <t>0.75"NB X SCH 160</t>
  </si>
  <si>
    <t>0.75"NB X SCH XXS</t>
  </si>
  <si>
    <t>0.5"NB X SCH 10</t>
  </si>
  <si>
    <t>0.5"NB X SCH STD</t>
  </si>
  <si>
    <t>0.5"NB X SCH 40</t>
  </si>
  <si>
    <t>0.5"NB X SCH XS</t>
  </si>
  <si>
    <t>0.5"NB X SCH 80</t>
  </si>
  <si>
    <t>0.5"NB X SCH 160</t>
  </si>
  <si>
    <t>0.5"NB X SCH 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</si>
</sst>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activeCell="A2" sqref="A2:A192"/>
    </sheetView>
  </sheetViews>
  <sheetFormatPr defaultRowHeight="15" x14ac:dyDescent="0.25"/>
  <cols>
    <col min="1" max="1" width="20.5703125" style="1" customWidth="1"/>
    <col min="2" max="3" width="9.140625" style="1"/>
  </cols>
  <sheetData>
    <row r="1" spans="1:4" ht="30" x14ac:dyDescent="0.25">
      <c r="A1" s="2" t="s">
        <v>3</v>
      </c>
      <c r="B1" s="2" t="s">
        <v>0</v>
      </c>
      <c r="C1" s="2" t="s">
        <v>1</v>
      </c>
      <c r="D1" s="5" t="s">
        <v>2</v>
      </c>
    </row>
    <row r="2" spans="1:4" x14ac:dyDescent="0.25">
      <c r="A2" s="6" t="s">
        <v>188</v>
      </c>
      <c r="B2" s="3">
        <v>21.3</v>
      </c>
      <c r="C2" s="4">
        <v>2.11</v>
      </c>
      <c r="D2" s="4">
        <f t="shared" ref="D2:D33" si="0">SUM(B2-C2)*C2*0.0246615</f>
        <v>0.99856633035000009</v>
      </c>
    </row>
    <row r="3" spans="1:4" x14ac:dyDescent="0.25">
      <c r="A3" s="6" t="s">
        <v>189</v>
      </c>
      <c r="B3" s="3">
        <v>21.3</v>
      </c>
      <c r="C3" s="4">
        <v>2.77</v>
      </c>
      <c r="D3" s="4">
        <f t="shared" si="0"/>
        <v>1.2658279381500002</v>
      </c>
    </row>
    <row r="4" spans="1:4" x14ac:dyDescent="0.25">
      <c r="A4" s="6" t="s">
        <v>190</v>
      </c>
      <c r="B4" s="3">
        <v>21.3</v>
      </c>
      <c r="C4" s="4">
        <v>2.77</v>
      </c>
      <c r="D4" s="4">
        <f t="shared" si="0"/>
        <v>1.2658279381500002</v>
      </c>
    </row>
    <row r="5" spans="1:4" x14ac:dyDescent="0.25">
      <c r="A5" s="6" t="s">
        <v>191</v>
      </c>
      <c r="B5" s="3">
        <v>21.3</v>
      </c>
      <c r="C5" s="4">
        <v>3.73</v>
      </c>
      <c r="D5" s="4">
        <f t="shared" si="0"/>
        <v>1.6162185301500001</v>
      </c>
    </row>
    <row r="6" spans="1:4" x14ac:dyDescent="0.25">
      <c r="A6" s="6" t="s">
        <v>192</v>
      </c>
      <c r="B6" s="3">
        <v>21.3</v>
      </c>
      <c r="C6" s="4">
        <v>3.73</v>
      </c>
      <c r="D6" s="4">
        <f t="shared" si="0"/>
        <v>1.6162185301500001</v>
      </c>
    </row>
    <row r="7" spans="1:4" x14ac:dyDescent="0.25">
      <c r="A7" s="6" t="s">
        <v>193</v>
      </c>
      <c r="B7" s="3">
        <v>21.3</v>
      </c>
      <c r="C7" s="4">
        <v>4.78</v>
      </c>
      <c r="D7" s="4">
        <f t="shared" si="0"/>
        <v>1.9474101444000003</v>
      </c>
    </row>
    <row r="8" spans="1:4" x14ac:dyDescent="0.25">
      <c r="A8" s="6" t="s">
        <v>194</v>
      </c>
      <c r="B8" s="3">
        <v>21.3</v>
      </c>
      <c r="C8" s="4">
        <v>7.47</v>
      </c>
      <c r="D8" s="4">
        <f t="shared" si="0"/>
        <v>2.5477820311500001</v>
      </c>
    </row>
    <row r="9" spans="1:4" x14ac:dyDescent="0.25">
      <c r="A9" s="6" t="s">
        <v>181</v>
      </c>
      <c r="B9" s="3">
        <v>26.7</v>
      </c>
      <c r="C9" s="4">
        <v>2.11</v>
      </c>
      <c r="D9" s="4">
        <f t="shared" si="0"/>
        <v>1.2795594613499999</v>
      </c>
    </row>
    <row r="10" spans="1:4" x14ac:dyDescent="0.25">
      <c r="A10" s="6" t="s">
        <v>182</v>
      </c>
      <c r="B10" s="3">
        <v>26.7</v>
      </c>
      <c r="C10" s="4">
        <v>2.87</v>
      </c>
      <c r="D10" s="4">
        <f t="shared" si="0"/>
        <v>1.68665177415</v>
      </c>
    </row>
    <row r="11" spans="1:4" x14ac:dyDescent="0.25">
      <c r="A11" s="6" t="s">
        <v>183</v>
      </c>
      <c r="B11" s="3">
        <v>26.7</v>
      </c>
      <c r="C11" s="4">
        <v>2.87</v>
      </c>
      <c r="D11" s="4">
        <f t="shared" si="0"/>
        <v>1.68665177415</v>
      </c>
    </row>
    <row r="12" spans="1:4" x14ac:dyDescent="0.25">
      <c r="A12" s="6" t="s">
        <v>184</v>
      </c>
      <c r="B12" s="3">
        <v>26.7</v>
      </c>
      <c r="C12" s="4">
        <v>3.91</v>
      </c>
      <c r="D12" s="4">
        <f t="shared" si="0"/>
        <v>2.1975591373500003</v>
      </c>
    </row>
    <row r="13" spans="1:4" x14ac:dyDescent="0.25">
      <c r="A13" s="6" t="s">
        <v>185</v>
      </c>
      <c r="B13" s="3">
        <v>26.7</v>
      </c>
      <c r="C13" s="4">
        <v>3.91</v>
      </c>
      <c r="D13" s="4">
        <f t="shared" si="0"/>
        <v>2.1975591373500003</v>
      </c>
    </row>
    <row r="14" spans="1:4" x14ac:dyDescent="0.25">
      <c r="A14" s="6" t="s">
        <v>186</v>
      </c>
      <c r="B14" s="3">
        <v>26.7</v>
      </c>
      <c r="C14" s="4">
        <v>5.56</v>
      </c>
      <c r="D14" s="4">
        <f t="shared" si="0"/>
        <v>2.8986732516</v>
      </c>
    </row>
    <row r="15" spans="1:4" x14ac:dyDescent="0.25">
      <c r="A15" s="6" t="s">
        <v>187</v>
      </c>
      <c r="B15" s="3">
        <v>26.7</v>
      </c>
      <c r="C15" s="4">
        <v>7.82</v>
      </c>
      <c r="D15" s="4">
        <f t="shared" si="0"/>
        <v>3.6410633184000001</v>
      </c>
    </row>
    <row r="16" spans="1:4" x14ac:dyDescent="0.25">
      <c r="A16" s="6" t="s">
        <v>4</v>
      </c>
      <c r="B16" s="3">
        <v>33.4</v>
      </c>
      <c r="C16" s="4">
        <v>2.77</v>
      </c>
      <c r="D16" s="4">
        <f t="shared" si="0"/>
        <v>2.09240743365</v>
      </c>
    </row>
    <row r="17" spans="1:4" x14ac:dyDescent="0.25">
      <c r="A17" s="6" t="s">
        <v>5</v>
      </c>
      <c r="B17" s="3">
        <v>33.4</v>
      </c>
      <c r="C17" s="4">
        <v>3.38</v>
      </c>
      <c r="D17" s="4">
        <f t="shared" si="0"/>
        <v>2.5023432173999995</v>
      </c>
    </row>
    <row r="18" spans="1:4" x14ac:dyDescent="0.25">
      <c r="A18" s="6" t="s">
        <v>6</v>
      </c>
      <c r="B18" s="3">
        <v>33.4</v>
      </c>
      <c r="C18" s="4">
        <v>3.38</v>
      </c>
      <c r="D18" s="4">
        <f t="shared" si="0"/>
        <v>2.5023432173999995</v>
      </c>
    </row>
    <row r="19" spans="1:4" x14ac:dyDescent="0.25">
      <c r="A19" s="6" t="s">
        <v>7</v>
      </c>
      <c r="B19" s="3">
        <v>33.4</v>
      </c>
      <c r="C19" s="4">
        <v>4.55</v>
      </c>
      <c r="D19" s="4">
        <f t="shared" si="0"/>
        <v>3.2372534512499995</v>
      </c>
    </row>
    <row r="20" spans="1:4" x14ac:dyDescent="0.25">
      <c r="A20" s="6" t="s">
        <v>8</v>
      </c>
      <c r="B20" s="3">
        <v>33.4</v>
      </c>
      <c r="C20" s="4">
        <v>4.55</v>
      </c>
      <c r="D20" s="4">
        <f t="shared" si="0"/>
        <v>3.2372534512499995</v>
      </c>
    </row>
    <row r="21" spans="1:4" x14ac:dyDescent="0.25">
      <c r="A21" s="6" t="s">
        <v>9</v>
      </c>
      <c r="B21" s="3">
        <v>33.4</v>
      </c>
      <c r="C21" s="4">
        <v>6.35</v>
      </c>
      <c r="D21" s="4">
        <f t="shared" si="0"/>
        <v>4.2360442012499995</v>
      </c>
    </row>
    <row r="22" spans="1:4" x14ac:dyDescent="0.25">
      <c r="A22" s="6" t="s">
        <v>10</v>
      </c>
      <c r="B22" s="3">
        <v>33.4</v>
      </c>
      <c r="C22" s="4">
        <v>9.09</v>
      </c>
      <c r="D22" s="4">
        <f t="shared" si="0"/>
        <v>5.4496464808499994</v>
      </c>
    </row>
    <row r="23" spans="1:4" x14ac:dyDescent="0.25">
      <c r="A23" s="6" t="s">
        <v>11</v>
      </c>
      <c r="B23" s="3">
        <v>42.2</v>
      </c>
      <c r="C23" s="4">
        <v>2.77</v>
      </c>
      <c r="D23" s="4">
        <f t="shared" si="0"/>
        <v>2.6935561576500002</v>
      </c>
    </row>
    <row r="24" spans="1:4" x14ac:dyDescent="0.25">
      <c r="A24" s="6" t="s">
        <v>12</v>
      </c>
      <c r="B24" s="3">
        <v>42.2</v>
      </c>
      <c r="C24" s="4">
        <v>3.56</v>
      </c>
      <c r="D24" s="4">
        <f t="shared" si="0"/>
        <v>3.3923964816000001</v>
      </c>
    </row>
    <row r="25" spans="1:4" x14ac:dyDescent="0.25">
      <c r="A25" s="6" t="s">
        <v>13</v>
      </c>
      <c r="B25" s="3">
        <v>42.2</v>
      </c>
      <c r="C25" s="4">
        <v>3.56</v>
      </c>
      <c r="D25" s="4">
        <f t="shared" si="0"/>
        <v>3.3923964816000001</v>
      </c>
    </row>
    <row r="26" spans="1:4" x14ac:dyDescent="0.25">
      <c r="A26" s="6" t="s">
        <v>14</v>
      </c>
      <c r="B26" s="3">
        <v>42.2</v>
      </c>
      <c r="C26" s="4">
        <v>4.8499999999999996</v>
      </c>
      <c r="D26" s="4">
        <f t="shared" si="0"/>
        <v>4.4673690712499994</v>
      </c>
    </row>
    <row r="27" spans="1:4" x14ac:dyDescent="0.25">
      <c r="A27" s="6" t="s">
        <v>15</v>
      </c>
      <c r="B27" s="3">
        <v>42.2</v>
      </c>
      <c r="C27" s="4">
        <v>4.8499999999999996</v>
      </c>
      <c r="D27" s="4">
        <f t="shared" si="0"/>
        <v>4.4673690712499994</v>
      </c>
    </row>
    <row r="28" spans="1:4" x14ac:dyDescent="0.25">
      <c r="A28" s="6" t="s">
        <v>16</v>
      </c>
      <c r="B28" s="3">
        <v>42.2</v>
      </c>
      <c r="C28" s="4">
        <v>6.35</v>
      </c>
      <c r="D28" s="4">
        <f t="shared" si="0"/>
        <v>5.6141288212500005</v>
      </c>
    </row>
    <row r="29" spans="1:4" x14ac:dyDescent="0.25">
      <c r="A29" s="6" t="s">
        <v>17</v>
      </c>
      <c r="B29" s="3">
        <v>42.2</v>
      </c>
      <c r="C29" s="4">
        <v>9.6999999999999993</v>
      </c>
      <c r="D29" s="4">
        <f t="shared" si="0"/>
        <v>7.774537875</v>
      </c>
    </row>
    <row r="30" spans="1:4" x14ac:dyDescent="0.25">
      <c r="A30" s="6" t="s">
        <v>18</v>
      </c>
      <c r="B30" s="3">
        <v>48.3</v>
      </c>
      <c r="C30" s="4">
        <v>2.77</v>
      </c>
      <c r="D30" s="4">
        <f t="shared" si="0"/>
        <v>3.1102615231499997</v>
      </c>
    </row>
    <row r="31" spans="1:4" x14ac:dyDescent="0.25">
      <c r="A31" s="6" t="s">
        <v>19</v>
      </c>
      <c r="B31" s="3">
        <v>48.3</v>
      </c>
      <c r="C31" s="4">
        <v>3.68</v>
      </c>
      <c r="D31" s="4">
        <f t="shared" si="0"/>
        <v>4.0494577583999991</v>
      </c>
    </row>
    <row r="32" spans="1:4" x14ac:dyDescent="0.25">
      <c r="A32" s="6" t="s">
        <v>20</v>
      </c>
      <c r="B32" s="3">
        <v>48.3</v>
      </c>
      <c r="C32" s="4">
        <v>3.68</v>
      </c>
      <c r="D32" s="4">
        <f t="shared" si="0"/>
        <v>4.0494577583999991</v>
      </c>
    </row>
    <row r="33" spans="1:4" x14ac:dyDescent="0.25">
      <c r="A33" s="6" t="s">
        <v>21</v>
      </c>
      <c r="B33" s="3">
        <v>48.3</v>
      </c>
      <c r="C33" s="4">
        <v>5.08</v>
      </c>
      <c r="D33" s="4">
        <f t="shared" si="0"/>
        <v>5.4146197524000002</v>
      </c>
    </row>
    <row r="34" spans="1:4" x14ac:dyDescent="0.25">
      <c r="A34" s="6" t="s">
        <v>22</v>
      </c>
      <c r="B34" s="3">
        <v>48.3</v>
      </c>
      <c r="C34" s="4">
        <v>5.08</v>
      </c>
      <c r="D34" s="4">
        <f t="shared" ref="D34:D65" si="1">SUM(B34-C34)*C34*0.0246615</f>
        <v>5.4146197524000002</v>
      </c>
    </row>
    <row r="35" spans="1:4" x14ac:dyDescent="0.25">
      <c r="A35" s="6" t="s">
        <v>23</v>
      </c>
      <c r="B35" s="3">
        <v>48.3</v>
      </c>
      <c r="C35" s="4">
        <v>7.14</v>
      </c>
      <c r="D35" s="4">
        <f t="shared" si="1"/>
        <v>7.2475808075999986</v>
      </c>
    </row>
    <row r="36" spans="1:4" x14ac:dyDescent="0.25">
      <c r="A36" s="6" t="s">
        <v>24</v>
      </c>
      <c r="B36" s="3">
        <v>48.3</v>
      </c>
      <c r="C36" s="4">
        <v>10.16</v>
      </c>
      <c r="D36" s="4">
        <f t="shared" si="1"/>
        <v>9.5563904376000011</v>
      </c>
    </row>
    <row r="37" spans="1:4" x14ac:dyDescent="0.25">
      <c r="A37" s="6" t="s">
        <v>25</v>
      </c>
      <c r="B37" s="3">
        <v>60.3</v>
      </c>
      <c r="C37" s="4">
        <v>2.77</v>
      </c>
      <c r="D37" s="4">
        <f t="shared" si="1"/>
        <v>3.9300097831499996</v>
      </c>
    </row>
    <row r="38" spans="1:4" x14ac:dyDescent="0.25">
      <c r="A38" s="6" t="s">
        <v>26</v>
      </c>
      <c r="B38" s="3">
        <v>60.3</v>
      </c>
      <c r="C38" s="4">
        <v>3.91</v>
      </c>
      <c r="D38" s="4">
        <f t="shared" si="1"/>
        <v>5.4374883613499998</v>
      </c>
    </row>
    <row r="39" spans="1:4" x14ac:dyDescent="0.25">
      <c r="A39" s="6" t="s">
        <v>27</v>
      </c>
      <c r="B39" s="3">
        <v>60.3</v>
      </c>
      <c r="C39" s="4">
        <v>3.91</v>
      </c>
      <c r="D39" s="4">
        <f t="shared" si="1"/>
        <v>5.4374883613499998</v>
      </c>
    </row>
    <row r="40" spans="1:4" x14ac:dyDescent="0.25">
      <c r="A40" s="6" t="s">
        <v>28</v>
      </c>
      <c r="B40" s="3">
        <v>60.3</v>
      </c>
      <c r="C40" s="4">
        <v>5.54</v>
      </c>
      <c r="D40" s="4">
        <f t="shared" si="1"/>
        <v>7.4815691196000005</v>
      </c>
    </row>
    <row r="41" spans="1:4" x14ac:dyDescent="0.25">
      <c r="A41" s="6" t="s">
        <v>29</v>
      </c>
      <c r="B41" s="3">
        <v>60.3</v>
      </c>
      <c r="C41" s="4">
        <v>5.54</v>
      </c>
      <c r="D41" s="4">
        <f t="shared" si="1"/>
        <v>7.4815691196000005</v>
      </c>
    </row>
    <row r="42" spans="1:4" x14ac:dyDescent="0.25">
      <c r="A42" s="6" t="s">
        <v>30</v>
      </c>
      <c r="B42" s="3">
        <v>60.3</v>
      </c>
      <c r="C42" s="4">
        <v>8.74</v>
      </c>
      <c r="D42" s="4">
        <f t="shared" si="1"/>
        <v>11.1133202556</v>
      </c>
    </row>
    <row r="43" spans="1:4" x14ac:dyDescent="0.25">
      <c r="A43" s="6" t="s">
        <v>31</v>
      </c>
      <c r="B43" s="3">
        <v>60.3</v>
      </c>
      <c r="C43" s="4">
        <v>11.07</v>
      </c>
      <c r="D43" s="4">
        <f t="shared" si="1"/>
        <v>13.43992809015</v>
      </c>
    </row>
    <row r="44" spans="1:4" x14ac:dyDescent="0.25">
      <c r="A44" s="6" t="s">
        <v>32</v>
      </c>
      <c r="B44" s="3">
        <v>73</v>
      </c>
      <c r="C44" s="4">
        <v>3.05</v>
      </c>
      <c r="D44" s="4">
        <f t="shared" si="1"/>
        <v>5.2614693712499996</v>
      </c>
    </row>
    <row r="45" spans="1:4" x14ac:dyDescent="0.25">
      <c r="A45" s="6" t="s">
        <v>33</v>
      </c>
      <c r="B45" s="3">
        <v>73</v>
      </c>
      <c r="C45" s="4">
        <v>5.16</v>
      </c>
      <c r="D45" s="4">
        <f t="shared" si="1"/>
        <v>8.6328665856000004</v>
      </c>
    </row>
    <row r="46" spans="1:4" x14ac:dyDescent="0.25">
      <c r="A46" s="6" t="s">
        <v>34</v>
      </c>
      <c r="B46" s="3">
        <v>73</v>
      </c>
      <c r="C46" s="4">
        <v>5.16</v>
      </c>
      <c r="D46" s="4">
        <f t="shared" si="1"/>
        <v>8.6328665856000004</v>
      </c>
    </row>
    <row r="47" spans="1:4" x14ac:dyDescent="0.25">
      <c r="A47" s="6" t="s">
        <v>35</v>
      </c>
      <c r="B47" s="3">
        <v>73</v>
      </c>
      <c r="C47" s="4">
        <v>7.01</v>
      </c>
      <c r="D47" s="4">
        <f t="shared" si="1"/>
        <v>11.408160818849998</v>
      </c>
    </row>
    <row r="48" spans="1:4" x14ac:dyDescent="0.25">
      <c r="A48" s="6" t="s">
        <v>36</v>
      </c>
      <c r="B48" s="3">
        <v>73</v>
      </c>
      <c r="C48" s="4">
        <v>7.01</v>
      </c>
      <c r="D48" s="4">
        <f t="shared" si="1"/>
        <v>11.408160818849998</v>
      </c>
    </row>
    <row r="49" spans="1:4" x14ac:dyDescent="0.25">
      <c r="A49" s="6" t="s">
        <v>37</v>
      </c>
      <c r="B49" s="3">
        <v>73</v>
      </c>
      <c r="C49" s="4">
        <v>9.52</v>
      </c>
      <c r="D49" s="4">
        <f t="shared" si="1"/>
        <v>14.903674430400001</v>
      </c>
    </row>
    <row r="50" spans="1:4" x14ac:dyDescent="0.25">
      <c r="A50" s="6" t="s">
        <v>38</v>
      </c>
      <c r="B50" s="3">
        <v>73</v>
      </c>
      <c r="C50" s="4">
        <v>14.02</v>
      </c>
      <c r="D50" s="4">
        <f t="shared" si="1"/>
        <v>20.3925844854</v>
      </c>
    </row>
    <row r="51" spans="1:4" x14ac:dyDescent="0.25">
      <c r="A51" s="6" t="s">
        <v>39</v>
      </c>
      <c r="B51" s="3">
        <v>88.9</v>
      </c>
      <c r="C51" s="4">
        <v>3.05</v>
      </c>
      <c r="D51" s="4">
        <f t="shared" si="1"/>
        <v>6.4574288137500009</v>
      </c>
    </row>
    <row r="52" spans="1:4" x14ac:dyDescent="0.25">
      <c r="A52" s="6" t="s">
        <v>40</v>
      </c>
      <c r="B52" s="3">
        <v>88.9</v>
      </c>
      <c r="C52" s="4">
        <v>5.49</v>
      </c>
      <c r="D52" s="4">
        <f t="shared" si="1"/>
        <v>11.293016275350002</v>
      </c>
    </row>
    <row r="53" spans="1:4" x14ac:dyDescent="0.25">
      <c r="A53" s="6" t="s">
        <v>41</v>
      </c>
      <c r="B53" s="3">
        <v>88.9</v>
      </c>
      <c r="C53" s="4">
        <v>5.49</v>
      </c>
      <c r="D53" s="4">
        <f t="shared" si="1"/>
        <v>11.293016275350002</v>
      </c>
    </row>
    <row r="54" spans="1:4" x14ac:dyDescent="0.25">
      <c r="A54" s="6" t="s">
        <v>42</v>
      </c>
      <c r="B54" s="3">
        <v>88.9</v>
      </c>
      <c r="C54" s="4">
        <v>7.62</v>
      </c>
      <c r="D54" s="4">
        <f t="shared" si="1"/>
        <v>15.2741888064</v>
      </c>
    </row>
    <row r="55" spans="1:4" x14ac:dyDescent="0.25">
      <c r="A55" s="6" t="s">
        <v>43</v>
      </c>
      <c r="B55" s="3">
        <v>88.9</v>
      </c>
      <c r="C55" s="4">
        <v>7.62</v>
      </c>
      <c r="D55" s="4">
        <f t="shared" si="1"/>
        <v>15.2741888064</v>
      </c>
    </row>
    <row r="56" spans="1:4" x14ac:dyDescent="0.25">
      <c r="A56" s="6" t="s">
        <v>44</v>
      </c>
      <c r="B56" s="3">
        <v>88.9</v>
      </c>
      <c r="C56" s="4">
        <v>11.13</v>
      </c>
      <c r="D56" s="4">
        <f t="shared" si="1"/>
        <v>21.346503636150004</v>
      </c>
    </row>
    <row r="57" spans="1:4" x14ac:dyDescent="0.25">
      <c r="A57" s="6" t="s">
        <v>45</v>
      </c>
      <c r="B57" s="3">
        <v>88.9</v>
      </c>
      <c r="C57" s="4">
        <v>15.24</v>
      </c>
      <c r="D57" s="4">
        <f t="shared" si="1"/>
        <v>27.684467211600001</v>
      </c>
    </row>
    <row r="58" spans="1:4" x14ac:dyDescent="0.25">
      <c r="A58" s="6" t="s">
        <v>46</v>
      </c>
      <c r="B58" s="3">
        <v>114.3</v>
      </c>
      <c r="C58" s="4">
        <v>3.05</v>
      </c>
      <c r="D58" s="4">
        <f t="shared" si="1"/>
        <v>8.3679552187499997</v>
      </c>
    </row>
    <row r="59" spans="1:4" x14ac:dyDescent="0.25">
      <c r="A59" s="6" t="s">
        <v>47</v>
      </c>
      <c r="B59" s="3">
        <v>114.3</v>
      </c>
      <c r="C59" s="4">
        <v>6.02</v>
      </c>
      <c r="D59" s="4">
        <f t="shared" si="1"/>
        <v>16.075490264399999</v>
      </c>
    </row>
    <row r="60" spans="1:4" x14ac:dyDescent="0.25">
      <c r="A60" s="6" t="s">
        <v>48</v>
      </c>
      <c r="B60" s="3">
        <v>114.3</v>
      </c>
      <c r="C60" s="4">
        <v>6.02</v>
      </c>
      <c r="D60" s="4">
        <f t="shared" si="1"/>
        <v>16.075490264399999</v>
      </c>
    </row>
    <row r="61" spans="1:4" x14ac:dyDescent="0.25">
      <c r="A61" s="6" t="s">
        <v>49</v>
      </c>
      <c r="B61" s="3">
        <v>114.3</v>
      </c>
      <c r="C61" s="4">
        <v>8.56</v>
      </c>
      <c r="D61" s="4">
        <f t="shared" si="1"/>
        <v>22.321972005599999</v>
      </c>
    </row>
    <row r="62" spans="1:4" x14ac:dyDescent="0.25">
      <c r="A62" s="6" t="s">
        <v>50</v>
      </c>
      <c r="B62" s="3">
        <v>114.3</v>
      </c>
      <c r="C62" s="4">
        <v>8.56</v>
      </c>
      <c r="D62" s="4">
        <f t="shared" si="1"/>
        <v>22.321972005599999</v>
      </c>
    </row>
    <row r="63" spans="1:4" x14ac:dyDescent="0.25">
      <c r="A63" s="6" t="s">
        <v>51</v>
      </c>
      <c r="B63" s="3">
        <v>114.3</v>
      </c>
      <c r="C63" s="4">
        <v>11.13</v>
      </c>
      <c r="D63" s="4">
        <f t="shared" si="1"/>
        <v>28.318359009150001</v>
      </c>
    </row>
    <row r="64" spans="1:4" x14ac:dyDescent="0.25">
      <c r="A64" s="6" t="s">
        <v>52</v>
      </c>
      <c r="B64" s="3">
        <v>114.3</v>
      </c>
      <c r="C64" s="4">
        <v>13.49</v>
      </c>
      <c r="D64" s="4">
        <f t="shared" si="1"/>
        <v>33.537837244350001</v>
      </c>
    </row>
    <row r="65" spans="1:4" x14ac:dyDescent="0.25">
      <c r="A65" s="6" t="s">
        <v>53</v>
      </c>
      <c r="B65" s="3">
        <v>114.3</v>
      </c>
      <c r="C65" s="4">
        <v>17.12</v>
      </c>
      <c r="D65" s="4">
        <f t="shared" si="1"/>
        <v>41.029870238400001</v>
      </c>
    </row>
    <row r="66" spans="1:4" x14ac:dyDescent="0.25">
      <c r="A66" s="6" t="s">
        <v>54</v>
      </c>
      <c r="B66" s="3">
        <v>141.30000000000001</v>
      </c>
      <c r="C66" s="4">
        <v>3.4</v>
      </c>
      <c r="D66" s="4">
        <f t="shared" ref="D66:D97" si="2">SUM(B66-C66)*C66*0.0246615</f>
        <v>11.56279089</v>
      </c>
    </row>
    <row r="67" spans="1:4" x14ac:dyDescent="0.25">
      <c r="A67" s="6" t="s">
        <v>55</v>
      </c>
      <c r="B67" s="3">
        <v>141.30000000000001</v>
      </c>
      <c r="C67" s="4">
        <v>6.55</v>
      </c>
      <c r="D67" s="4">
        <f t="shared" si="2"/>
        <v>21.766548168749999</v>
      </c>
    </row>
    <row r="68" spans="1:4" x14ac:dyDescent="0.25">
      <c r="A68" s="6" t="s">
        <v>56</v>
      </c>
      <c r="B68" s="3">
        <v>141.30000000000001</v>
      </c>
      <c r="C68" s="4">
        <v>6.55</v>
      </c>
      <c r="D68" s="4">
        <f t="shared" si="2"/>
        <v>21.766548168749999</v>
      </c>
    </row>
    <row r="69" spans="1:4" x14ac:dyDescent="0.25">
      <c r="A69" s="6" t="s">
        <v>57</v>
      </c>
      <c r="B69" s="3">
        <v>141.30000000000001</v>
      </c>
      <c r="C69" s="4">
        <v>9.5299999999999994</v>
      </c>
      <c r="D69" s="4">
        <f t="shared" si="2"/>
        <v>30.969124998150001</v>
      </c>
    </row>
    <row r="70" spans="1:4" x14ac:dyDescent="0.25">
      <c r="A70" s="6" t="s">
        <v>58</v>
      </c>
      <c r="B70" s="3">
        <v>141.30000000000001</v>
      </c>
      <c r="C70" s="4">
        <v>9.5299999999999994</v>
      </c>
      <c r="D70" s="4">
        <f t="shared" si="2"/>
        <v>30.969124998150001</v>
      </c>
    </row>
    <row r="71" spans="1:4" x14ac:dyDescent="0.25">
      <c r="A71" s="6" t="s">
        <v>59</v>
      </c>
      <c r="B71" s="3">
        <v>141.30000000000001</v>
      </c>
      <c r="C71" s="4">
        <v>12.7</v>
      </c>
      <c r="D71" s="4">
        <f t="shared" si="2"/>
        <v>40.277655030000005</v>
      </c>
    </row>
    <row r="72" spans="1:4" x14ac:dyDescent="0.25">
      <c r="A72" s="6" t="s">
        <v>60</v>
      </c>
      <c r="B72" s="3">
        <v>141.30000000000001</v>
      </c>
      <c r="C72" s="4">
        <v>15.88</v>
      </c>
      <c r="D72" s="4">
        <f t="shared" si="2"/>
        <v>49.117559840400006</v>
      </c>
    </row>
    <row r="73" spans="1:4" x14ac:dyDescent="0.25">
      <c r="A73" s="6" t="s">
        <v>61</v>
      </c>
      <c r="B73" s="3">
        <v>141.30000000000001</v>
      </c>
      <c r="C73" s="4">
        <v>19.05</v>
      </c>
      <c r="D73" s="4">
        <f t="shared" si="2"/>
        <v>57.433242543750005</v>
      </c>
    </row>
    <row r="74" spans="1:4" x14ac:dyDescent="0.25">
      <c r="A74" s="6" t="s">
        <v>62</v>
      </c>
      <c r="B74" s="3">
        <v>168.3</v>
      </c>
      <c r="C74" s="4">
        <v>3.4</v>
      </c>
      <c r="D74" s="4">
        <f t="shared" si="2"/>
        <v>13.826716589999998</v>
      </c>
    </row>
    <row r="75" spans="1:4" x14ac:dyDescent="0.25">
      <c r="A75" s="6" t="s">
        <v>63</v>
      </c>
      <c r="B75" s="3">
        <v>168.3</v>
      </c>
      <c r="C75" s="4">
        <v>7.11</v>
      </c>
      <c r="D75" s="4">
        <f t="shared" si="2"/>
        <v>28.263580885349999</v>
      </c>
    </row>
    <row r="76" spans="1:4" x14ac:dyDescent="0.25">
      <c r="A76" s="6" t="s">
        <v>64</v>
      </c>
      <c r="B76" s="3">
        <v>168.3</v>
      </c>
      <c r="C76" s="4">
        <v>7.11</v>
      </c>
      <c r="D76" s="4">
        <f t="shared" si="2"/>
        <v>28.263580885349999</v>
      </c>
    </row>
    <row r="77" spans="1:4" x14ac:dyDescent="0.25">
      <c r="A77" s="6" t="s">
        <v>65</v>
      </c>
      <c r="B77" s="3">
        <v>168.3</v>
      </c>
      <c r="C77" s="4">
        <v>10.97</v>
      </c>
      <c r="D77" s="4">
        <f t="shared" si="2"/>
        <v>42.563531931150003</v>
      </c>
    </row>
    <row r="78" spans="1:4" x14ac:dyDescent="0.25">
      <c r="A78" s="6" t="s">
        <v>66</v>
      </c>
      <c r="B78" s="3">
        <v>168.3</v>
      </c>
      <c r="C78" s="4">
        <v>10.97</v>
      </c>
      <c r="D78" s="4">
        <f t="shared" si="2"/>
        <v>42.563531931150003</v>
      </c>
    </row>
    <row r="79" spans="1:4" x14ac:dyDescent="0.25">
      <c r="A79" s="6" t="s">
        <v>67</v>
      </c>
      <c r="B79" s="3">
        <v>168.3</v>
      </c>
      <c r="C79" s="4">
        <v>14.27</v>
      </c>
      <c r="D79" s="4">
        <f t="shared" si="2"/>
        <v>54.206176758150001</v>
      </c>
    </row>
    <row r="80" spans="1:4" x14ac:dyDescent="0.25">
      <c r="A80" s="6" t="s">
        <v>68</v>
      </c>
      <c r="B80" s="3">
        <v>168.3</v>
      </c>
      <c r="C80" s="4">
        <v>18.260000000000002</v>
      </c>
      <c r="D80" s="4">
        <f t="shared" si="2"/>
        <v>67.565861259600013</v>
      </c>
    </row>
    <row r="81" spans="1:4" x14ac:dyDescent="0.25">
      <c r="A81" s="6" t="s">
        <v>69</v>
      </c>
      <c r="B81" s="3">
        <v>168.3</v>
      </c>
      <c r="C81" s="4">
        <v>21.95</v>
      </c>
      <c r="D81" s="4">
        <f t="shared" si="2"/>
        <v>79.222171023750008</v>
      </c>
    </row>
    <row r="82" spans="1:4" x14ac:dyDescent="0.25">
      <c r="A82" s="6" t="s">
        <v>70</v>
      </c>
      <c r="B82" s="3">
        <v>219.1</v>
      </c>
      <c r="C82" s="4">
        <v>3.76</v>
      </c>
      <c r="D82" s="4">
        <f t="shared" si="2"/>
        <v>19.967883861600001</v>
      </c>
    </row>
    <row r="83" spans="1:4" x14ac:dyDescent="0.25">
      <c r="A83" s="6" t="s">
        <v>71</v>
      </c>
      <c r="B83" s="3">
        <v>219.1</v>
      </c>
      <c r="C83" s="4">
        <v>6.35</v>
      </c>
      <c r="D83" s="4">
        <f t="shared" si="2"/>
        <v>33.316761693749996</v>
      </c>
    </row>
    <row r="84" spans="1:4" x14ac:dyDescent="0.25">
      <c r="A84" s="6" t="s">
        <v>72</v>
      </c>
      <c r="B84" s="3">
        <v>219.1</v>
      </c>
      <c r="C84" s="4">
        <v>7.04</v>
      </c>
      <c r="D84" s="4">
        <f t="shared" si="2"/>
        <v>36.8172125376</v>
      </c>
    </row>
    <row r="85" spans="1:4" x14ac:dyDescent="0.25">
      <c r="A85" s="6" t="s">
        <v>73</v>
      </c>
      <c r="B85" s="3">
        <v>219.1</v>
      </c>
      <c r="C85" s="4">
        <v>8.18</v>
      </c>
      <c r="D85" s="4">
        <f t="shared" si="2"/>
        <v>42.549117284399998</v>
      </c>
    </row>
    <row r="86" spans="1:4" x14ac:dyDescent="0.25">
      <c r="A86" s="6" t="s">
        <v>74</v>
      </c>
      <c r="B86" s="3">
        <v>219.1</v>
      </c>
      <c r="C86" s="4">
        <v>8.18</v>
      </c>
      <c r="D86" s="4">
        <f t="shared" si="2"/>
        <v>42.549117284399998</v>
      </c>
    </row>
    <row r="87" spans="1:4" x14ac:dyDescent="0.25">
      <c r="A87" s="6" t="s">
        <v>75</v>
      </c>
      <c r="B87" s="3">
        <v>219.1</v>
      </c>
      <c r="C87" s="4">
        <v>10.31</v>
      </c>
      <c r="D87" s="4">
        <f t="shared" si="2"/>
        <v>53.086958971349993</v>
      </c>
    </row>
    <row r="88" spans="1:4" x14ac:dyDescent="0.25">
      <c r="A88" s="6" t="s">
        <v>76</v>
      </c>
      <c r="B88" s="3">
        <v>219.1</v>
      </c>
      <c r="C88" s="4">
        <v>12.7</v>
      </c>
      <c r="D88" s="4">
        <f t="shared" si="2"/>
        <v>64.644696719999999</v>
      </c>
    </row>
    <row r="89" spans="1:4" x14ac:dyDescent="0.25">
      <c r="A89" s="6" t="s">
        <v>77</v>
      </c>
      <c r="B89" s="3">
        <v>219.1</v>
      </c>
      <c r="C89" s="4">
        <v>12.7</v>
      </c>
      <c r="D89" s="4">
        <f t="shared" si="2"/>
        <v>64.644696719999999</v>
      </c>
    </row>
    <row r="90" spans="1:4" x14ac:dyDescent="0.25">
      <c r="A90" s="6" t="s">
        <v>78</v>
      </c>
      <c r="B90" s="3">
        <v>219.1</v>
      </c>
      <c r="C90" s="4">
        <v>15.09</v>
      </c>
      <c r="D90" s="4">
        <f t="shared" si="2"/>
        <v>75.920696560349995</v>
      </c>
    </row>
    <row r="91" spans="1:4" x14ac:dyDescent="0.25">
      <c r="A91" s="6" t="s">
        <v>79</v>
      </c>
      <c r="B91" s="3">
        <v>219.1</v>
      </c>
      <c r="C91" s="4">
        <v>18.260000000000002</v>
      </c>
      <c r="D91" s="4">
        <f t="shared" si="2"/>
        <v>90.442065951600014</v>
      </c>
    </row>
    <row r="92" spans="1:4" x14ac:dyDescent="0.25">
      <c r="A92" s="6" t="s">
        <v>80</v>
      </c>
      <c r="B92" s="3">
        <v>219.1</v>
      </c>
      <c r="C92" s="4">
        <v>20.62</v>
      </c>
      <c r="D92" s="4">
        <f t="shared" si="2"/>
        <v>100.9310754024</v>
      </c>
    </row>
    <row r="93" spans="1:4" x14ac:dyDescent="0.25">
      <c r="A93" s="6" t="s">
        <v>81</v>
      </c>
      <c r="B93" s="3">
        <v>219.1</v>
      </c>
      <c r="C93" s="4">
        <v>23.04</v>
      </c>
      <c r="D93" s="4">
        <f t="shared" si="2"/>
        <v>111.40148021759998</v>
      </c>
    </row>
    <row r="94" spans="1:4" x14ac:dyDescent="0.25">
      <c r="A94" s="6" t="s">
        <v>82</v>
      </c>
      <c r="B94" s="3">
        <v>219.1</v>
      </c>
      <c r="C94" s="4">
        <v>22.22</v>
      </c>
      <c r="D94" s="4">
        <f t="shared" si="2"/>
        <v>107.8860129864</v>
      </c>
    </row>
    <row r="95" spans="1:4" x14ac:dyDescent="0.25">
      <c r="A95" s="6" t="s">
        <v>83</v>
      </c>
      <c r="B95" s="3">
        <v>273</v>
      </c>
      <c r="C95" s="4">
        <v>4.1900000000000004</v>
      </c>
      <c r="D95" s="4">
        <f t="shared" si="2"/>
        <v>27.776590244850002</v>
      </c>
    </row>
    <row r="96" spans="1:4" x14ac:dyDescent="0.25">
      <c r="A96" s="6" t="s">
        <v>84</v>
      </c>
      <c r="B96" s="3">
        <v>273</v>
      </c>
      <c r="C96" s="4">
        <v>6.35</v>
      </c>
      <c r="D96" s="4">
        <f t="shared" si="2"/>
        <v>41.757529991249996</v>
      </c>
    </row>
    <row r="97" spans="1:4" x14ac:dyDescent="0.25">
      <c r="A97" s="6" t="s">
        <v>85</v>
      </c>
      <c r="B97" s="3">
        <v>273</v>
      </c>
      <c r="C97" s="4">
        <v>7.8</v>
      </c>
      <c r="D97" s="4">
        <f t="shared" si="2"/>
        <v>51.013792439999996</v>
      </c>
    </row>
    <row r="98" spans="1:4" x14ac:dyDescent="0.25">
      <c r="A98" s="6" t="s">
        <v>86</v>
      </c>
      <c r="B98" s="3">
        <v>273</v>
      </c>
      <c r="C98" s="4">
        <v>9.27</v>
      </c>
      <c r="D98" s="4">
        <f t="shared" ref="D98:D129" si="3">SUM(B98-C98)*C98*0.0246615</f>
        <v>60.291870451650006</v>
      </c>
    </row>
    <row r="99" spans="1:4" x14ac:dyDescent="0.25">
      <c r="A99" s="6" t="s">
        <v>87</v>
      </c>
      <c r="B99" s="3">
        <v>273</v>
      </c>
      <c r="C99" s="4">
        <v>9.27</v>
      </c>
      <c r="D99" s="4">
        <f t="shared" si="3"/>
        <v>60.291870451650006</v>
      </c>
    </row>
    <row r="100" spans="1:4" x14ac:dyDescent="0.25">
      <c r="A100" s="6" t="s">
        <v>88</v>
      </c>
      <c r="B100" s="3">
        <v>273</v>
      </c>
      <c r="C100" s="4">
        <v>12.7</v>
      </c>
      <c r="D100" s="4">
        <f t="shared" si="3"/>
        <v>81.526233314999999</v>
      </c>
    </row>
    <row r="101" spans="1:4" x14ac:dyDescent="0.25">
      <c r="A101" s="6" t="s">
        <v>89</v>
      </c>
      <c r="B101" s="3">
        <v>273</v>
      </c>
      <c r="C101" s="4">
        <v>12.7</v>
      </c>
      <c r="D101" s="4">
        <f t="shared" si="3"/>
        <v>81.526233314999999</v>
      </c>
    </row>
    <row r="102" spans="1:4" x14ac:dyDescent="0.25">
      <c r="A102" s="6" t="s">
        <v>90</v>
      </c>
      <c r="B102" s="3">
        <v>273</v>
      </c>
      <c r="C102" s="4">
        <v>15.09</v>
      </c>
      <c r="D102" s="4">
        <f t="shared" si="3"/>
        <v>95.979152246850006</v>
      </c>
    </row>
    <row r="103" spans="1:4" x14ac:dyDescent="0.25">
      <c r="A103" s="6" t="s">
        <v>91</v>
      </c>
      <c r="B103" s="3">
        <v>273</v>
      </c>
      <c r="C103" s="4">
        <v>18.260000000000002</v>
      </c>
      <c r="D103" s="4">
        <f t="shared" si="3"/>
        <v>114.71425951260001</v>
      </c>
    </row>
    <row r="104" spans="1:4" x14ac:dyDescent="0.25">
      <c r="A104" s="6" t="s">
        <v>92</v>
      </c>
      <c r="B104" s="3">
        <v>273</v>
      </c>
      <c r="C104" s="4">
        <v>21.44</v>
      </c>
      <c r="D104" s="4">
        <f t="shared" si="3"/>
        <v>133.01047839360001</v>
      </c>
    </row>
    <row r="105" spans="1:4" x14ac:dyDescent="0.25">
      <c r="A105" s="6" t="s">
        <v>93</v>
      </c>
      <c r="B105" s="3">
        <v>273</v>
      </c>
      <c r="C105" s="4">
        <v>25.4</v>
      </c>
      <c r="D105" s="4">
        <f t="shared" si="3"/>
        <v>155.09715995999997</v>
      </c>
    </row>
    <row r="106" spans="1:4" x14ac:dyDescent="0.25">
      <c r="A106" s="6" t="s">
        <v>94</v>
      </c>
      <c r="B106" s="3">
        <v>273</v>
      </c>
      <c r="C106" s="4">
        <v>28.58</v>
      </c>
      <c r="D106" s="4">
        <f t="shared" si="3"/>
        <v>172.27349026140001</v>
      </c>
    </row>
    <row r="107" spans="1:4" x14ac:dyDescent="0.25">
      <c r="A107" s="6" t="s">
        <v>95</v>
      </c>
      <c r="B107" s="3">
        <v>273</v>
      </c>
      <c r="C107" s="4">
        <v>25.4</v>
      </c>
      <c r="D107" s="4">
        <f t="shared" si="3"/>
        <v>155.09715995999997</v>
      </c>
    </row>
    <row r="108" spans="1:4" x14ac:dyDescent="0.25">
      <c r="A108" s="6" t="s">
        <v>96</v>
      </c>
      <c r="B108" s="3">
        <v>323.8</v>
      </c>
      <c r="C108" s="4">
        <v>4.57</v>
      </c>
      <c r="D108" s="4">
        <f t="shared" si="3"/>
        <v>35.978196247650004</v>
      </c>
    </row>
    <row r="109" spans="1:4" x14ac:dyDescent="0.25">
      <c r="A109" s="6" t="s">
        <v>97</v>
      </c>
      <c r="B109" s="3">
        <v>323.8</v>
      </c>
      <c r="C109" s="4">
        <v>6.35</v>
      </c>
      <c r="D109" s="4">
        <f t="shared" si="3"/>
        <v>49.712836661249995</v>
      </c>
    </row>
    <row r="110" spans="1:4" x14ac:dyDescent="0.25">
      <c r="A110" s="6" t="s">
        <v>98</v>
      </c>
      <c r="B110" s="3">
        <v>323.8</v>
      </c>
      <c r="C110" s="4">
        <v>8.3800000000000008</v>
      </c>
      <c r="D110" s="4">
        <f t="shared" si="3"/>
        <v>65.185760165400012</v>
      </c>
    </row>
    <row r="111" spans="1:4" x14ac:dyDescent="0.25">
      <c r="A111" s="6" t="s">
        <v>99</v>
      </c>
      <c r="B111" s="3">
        <v>323.8</v>
      </c>
      <c r="C111" s="4">
        <v>9.52</v>
      </c>
      <c r="D111" s="4">
        <f t="shared" si="3"/>
        <v>73.785866414400004</v>
      </c>
    </row>
    <row r="112" spans="1:4" x14ac:dyDescent="0.25">
      <c r="A112" s="6" t="s">
        <v>100</v>
      </c>
      <c r="B112" s="3">
        <v>323.8</v>
      </c>
      <c r="C112" s="4">
        <v>10.31</v>
      </c>
      <c r="D112" s="4">
        <f t="shared" si="3"/>
        <v>79.707987776850004</v>
      </c>
    </row>
    <row r="113" spans="1:4" x14ac:dyDescent="0.25">
      <c r="A113" s="6" t="s">
        <v>101</v>
      </c>
      <c r="B113" s="3">
        <v>323.8</v>
      </c>
      <c r="C113" s="4">
        <v>14.27</v>
      </c>
      <c r="D113" s="4">
        <f t="shared" si="3"/>
        <v>108.92967533565002</v>
      </c>
    </row>
    <row r="114" spans="1:4" x14ac:dyDescent="0.25">
      <c r="A114" s="6" t="s">
        <v>102</v>
      </c>
      <c r="B114" s="3">
        <v>323.8</v>
      </c>
      <c r="C114" s="4">
        <v>12.7</v>
      </c>
      <c r="D114" s="4">
        <f t="shared" si="3"/>
        <v>97.436846655000011</v>
      </c>
    </row>
    <row r="115" spans="1:4" x14ac:dyDescent="0.25">
      <c r="A115" s="6" t="s">
        <v>103</v>
      </c>
      <c r="B115" s="3">
        <v>323.8</v>
      </c>
      <c r="C115" s="4">
        <v>17.48</v>
      </c>
      <c r="D115" s="4">
        <f t="shared" si="3"/>
        <v>132.0493506864</v>
      </c>
    </row>
    <row r="116" spans="1:4" x14ac:dyDescent="0.25">
      <c r="A116" s="6" t="s">
        <v>104</v>
      </c>
      <c r="B116" s="3">
        <v>323.8</v>
      </c>
      <c r="C116" s="4">
        <v>21.44</v>
      </c>
      <c r="D116" s="4">
        <f t="shared" si="3"/>
        <v>159.8706004416</v>
      </c>
    </row>
    <row r="117" spans="1:4" x14ac:dyDescent="0.25">
      <c r="A117" s="6" t="s">
        <v>105</v>
      </c>
      <c r="B117" s="3">
        <v>323.8</v>
      </c>
      <c r="C117" s="4">
        <v>25.4</v>
      </c>
      <c r="D117" s="4">
        <f t="shared" si="3"/>
        <v>186.91838664000002</v>
      </c>
    </row>
    <row r="118" spans="1:4" x14ac:dyDescent="0.25">
      <c r="A118" s="6" t="s">
        <v>106</v>
      </c>
      <c r="B118" s="3">
        <v>323.8</v>
      </c>
      <c r="C118" s="4">
        <v>28.58</v>
      </c>
      <c r="D118" s="4">
        <f t="shared" si="3"/>
        <v>208.07863429739999</v>
      </c>
    </row>
    <row r="119" spans="1:4" x14ac:dyDescent="0.25">
      <c r="A119" s="6" t="s">
        <v>107</v>
      </c>
      <c r="B119" s="3">
        <v>323.8</v>
      </c>
      <c r="C119" s="4">
        <v>33.32</v>
      </c>
      <c r="D119" s="4">
        <f t="shared" si="3"/>
        <v>238.69356836640003</v>
      </c>
    </row>
    <row r="120" spans="1:4" x14ac:dyDescent="0.25">
      <c r="A120" s="6" t="s">
        <v>108</v>
      </c>
      <c r="B120" s="3">
        <v>323.8</v>
      </c>
      <c r="C120" s="4">
        <v>25.4</v>
      </c>
      <c r="D120" s="4">
        <f t="shared" si="3"/>
        <v>186.91838664000002</v>
      </c>
    </row>
    <row r="121" spans="1:4" x14ac:dyDescent="0.25">
      <c r="A121" s="6" t="s">
        <v>109</v>
      </c>
      <c r="B121" s="3">
        <v>355.6</v>
      </c>
      <c r="C121" s="4">
        <v>6.35</v>
      </c>
      <c r="D121" s="4">
        <f t="shared" si="3"/>
        <v>54.692733356249995</v>
      </c>
    </row>
    <row r="122" spans="1:4" x14ac:dyDescent="0.25">
      <c r="A122" s="6" t="s">
        <v>110</v>
      </c>
      <c r="B122" s="3">
        <v>355.6</v>
      </c>
      <c r="C122" s="4">
        <v>7.92</v>
      </c>
      <c r="D122" s="4">
        <f t="shared" si="3"/>
        <v>67.908537734399999</v>
      </c>
    </row>
    <row r="123" spans="1:4" x14ac:dyDescent="0.25">
      <c r="A123" s="6" t="s">
        <v>111</v>
      </c>
      <c r="B123" s="3">
        <v>355.6</v>
      </c>
      <c r="C123" s="4">
        <v>9.52</v>
      </c>
      <c r="D123" s="4">
        <f t="shared" si="3"/>
        <v>81.251790278400009</v>
      </c>
    </row>
    <row r="124" spans="1:4" x14ac:dyDescent="0.25">
      <c r="A124" s="6" t="s">
        <v>112</v>
      </c>
      <c r="B124" s="3">
        <v>355.6</v>
      </c>
      <c r="C124" s="4">
        <v>9.52</v>
      </c>
      <c r="D124" s="4">
        <f t="shared" si="3"/>
        <v>81.251790278400009</v>
      </c>
    </row>
    <row r="125" spans="1:4" x14ac:dyDescent="0.25">
      <c r="A125" s="6" t="s">
        <v>113</v>
      </c>
      <c r="B125" s="3">
        <v>355.6</v>
      </c>
      <c r="C125" s="4">
        <v>11.13</v>
      </c>
      <c r="D125" s="4">
        <f t="shared" si="3"/>
        <v>94.55098505265002</v>
      </c>
    </row>
    <row r="126" spans="1:4" x14ac:dyDescent="0.25">
      <c r="A126" s="6" t="s">
        <v>114</v>
      </c>
      <c r="B126" s="3">
        <v>355.6</v>
      </c>
      <c r="C126" s="4">
        <v>15.09</v>
      </c>
      <c r="D126" s="4">
        <f t="shared" si="3"/>
        <v>126.71808433785002</v>
      </c>
    </row>
    <row r="127" spans="1:4" x14ac:dyDescent="0.25">
      <c r="A127" s="6" t="s">
        <v>115</v>
      </c>
      <c r="B127" s="3">
        <v>355.6</v>
      </c>
      <c r="C127" s="4">
        <v>12.7</v>
      </c>
      <c r="D127" s="4">
        <f t="shared" si="3"/>
        <v>107.396640045</v>
      </c>
    </row>
    <row r="128" spans="1:4" x14ac:dyDescent="0.25">
      <c r="A128" s="6" t="s">
        <v>116</v>
      </c>
      <c r="B128" s="3">
        <v>355.6</v>
      </c>
      <c r="C128" s="4">
        <v>19.05</v>
      </c>
      <c r="D128" s="4">
        <f t="shared" si="3"/>
        <v>158.11172006625</v>
      </c>
    </row>
    <row r="129" spans="1:4" x14ac:dyDescent="0.25">
      <c r="A129" s="6" t="s">
        <v>117</v>
      </c>
      <c r="B129" s="3">
        <v>355.6</v>
      </c>
      <c r="C129" s="4">
        <v>23.83</v>
      </c>
      <c r="D129" s="4">
        <f t="shared" si="3"/>
        <v>194.97576972465001</v>
      </c>
    </row>
    <row r="130" spans="1:4" x14ac:dyDescent="0.25">
      <c r="A130" s="6" t="s">
        <v>118</v>
      </c>
      <c r="B130" s="3">
        <v>355.6</v>
      </c>
      <c r="C130" s="4">
        <v>27.79</v>
      </c>
      <c r="D130" s="4">
        <f t="shared" ref="D130:D161" si="4">SUM(B130-C130)*C130*0.0246615</f>
        <v>224.66231669384996</v>
      </c>
    </row>
    <row r="131" spans="1:4" x14ac:dyDescent="0.25">
      <c r="A131" s="6" t="s">
        <v>119</v>
      </c>
      <c r="B131" s="3">
        <v>355.6</v>
      </c>
      <c r="C131" s="4">
        <v>31.75</v>
      </c>
      <c r="D131" s="4">
        <f t="shared" si="4"/>
        <v>253.57540010625002</v>
      </c>
    </row>
    <row r="132" spans="1:4" x14ac:dyDescent="0.25">
      <c r="A132" s="6" t="s">
        <v>120</v>
      </c>
      <c r="B132" s="3">
        <v>355.6</v>
      </c>
      <c r="C132" s="4">
        <v>35.71</v>
      </c>
      <c r="D132" s="4">
        <f t="shared" si="4"/>
        <v>281.71501996185003</v>
      </c>
    </row>
    <row r="133" spans="1:4" x14ac:dyDescent="0.25">
      <c r="A133" s="6" t="s">
        <v>121</v>
      </c>
      <c r="B133" s="3">
        <v>406.4</v>
      </c>
      <c r="C133" s="4">
        <v>6.35</v>
      </c>
      <c r="D133" s="4">
        <f t="shared" si="4"/>
        <v>62.648040026249987</v>
      </c>
    </row>
    <row r="134" spans="1:4" x14ac:dyDescent="0.25">
      <c r="A134" s="6" t="s">
        <v>122</v>
      </c>
      <c r="B134" s="3">
        <v>406.4</v>
      </c>
      <c r="C134" s="4">
        <v>7.92</v>
      </c>
      <c r="D134" s="4">
        <f t="shared" si="4"/>
        <v>77.830746998399988</v>
      </c>
    </row>
    <row r="135" spans="1:4" x14ac:dyDescent="0.25">
      <c r="A135" s="6" t="s">
        <v>123</v>
      </c>
      <c r="B135" s="3">
        <v>406.4</v>
      </c>
      <c r="C135" s="4">
        <v>9.52</v>
      </c>
      <c r="D135" s="4">
        <f t="shared" si="4"/>
        <v>93.1784862624</v>
      </c>
    </row>
    <row r="136" spans="1:4" x14ac:dyDescent="0.25">
      <c r="A136" s="6" t="s">
        <v>124</v>
      </c>
      <c r="B136" s="3">
        <v>406.4</v>
      </c>
      <c r="C136" s="4">
        <v>9.52</v>
      </c>
      <c r="D136" s="4">
        <f t="shared" si="4"/>
        <v>93.1784862624</v>
      </c>
    </row>
    <row r="137" spans="1:4" x14ac:dyDescent="0.25">
      <c r="A137" s="6" t="s">
        <v>125</v>
      </c>
      <c r="B137" s="3">
        <v>406.4</v>
      </c>
      <c r="C137" s="4">
        <v>12.7</v>
      </c>
      <c r="D137" s="4">
        <f t="shared" si="4"/>
        <v>123.307253385</v>
      </c>
    </row>
    <row r="138" spans="1:4" x14ac:dyDescent="0.25">
      <c r="A138" s="6" t="s">
        <v>126</v>
      </c>
      <c r="B138" s="3">
        <v>406.4</v>
      </c>
      <c r="C138" s="4">
        <v>16.66</v>
      </c>
      <c r="D138" s="4">
        <f t="shared" si="4"/>
        <v>160.12880634659999</v>
      </c>
    </row>
    <row r="139" spans="1:4" x14ac:dyDescent="0.25">
      <c r="A139" s="6" t="s">
        <v>127</v>
      </c>
      <c r="B139" s="3">
        <v>406.4</v>
      </c>
      <c r="C139" s="4">
        <v>12.7</v>
      </c>
      <c r="D139" s="4">
        <f t="shared" si="4"/>
        <v>123.307253385</v>
      </c>
    </row>
    <row r="140" spans="1:4" x14ac:dyDescent="0.25">
      <c r="A140" s="6" t="s">
        <v>128</v>
      </c>
      <c r="B140" s="3">
        <v>406.4</v>
      </c>
      <c r="C140" s="4">
        <v>12.7</v>
      </c>
      <c r="D140" s="4">
        <f t="shared" si="4"/>
        <v>123.307253385</v>
      </c>
    </row>
    <row r="141" spans="1:4" x14ac:dyDescent="0.25">
      <c r="A141" s="6" t="s">
        <v>129</v>
      </c>
      <c r="B141" s="3">
        <v>406.4</v>
      </c>
      <c r="C141" s="4">
        <v>26.19</v>
      </c>
      <c r="D141" s="4">
        <f t="shared" si="4"/>
        <v>245.57181608385</v>
      </c>
    </row>
    <row r="142" spans="1:4" x14ac:dyDescent="0.25">
      <c r="A142" s="6" t="s">
        <v>130</v>
      </c>
      <c r="B142" s="3">
        <v>406.4</v>
      </c>
      <c r="C142" s="4">
        <v>30.96</v>
      </c>
      <c r="D142" s="4">
        <f t="shared" si="4"/>
        <v>286.65596381760002</v>
      </c>
    </row>
    <row r="143" spans="1:4" x14ac:dyDescent="0.25">
      <c r="A143" s="6" t="s">
        <v>131</v>
      </c>
      <c r="B143" s="3">
        <v>406.4</v>
      </c>
      <c r="C143" s="4">
        <v>36.53</v>
      </c>
      <c r="D143" s="4">
        <f t="shared" si="4"/>
        <v>333.21018515265001</v>
      </c>
    </row>
    <row r="144" spans="1:4" x14ac:dyDescent="0.25">
      <c r="A144" s="6" t="s">
        <v>132</v>
      </c>
      <c r="B144" s="3">
        <v>406.4</v>
      </c>
      <c r="C144" s="4">
        <v>40.49</v>
      </c>
      <c r="D144" s="4">
        <f t="shared" si="4"/>
        <v>365.37728443784994</v>
      </c>
    </row>
    <row r="145" spans="1:4" x14ac:dyDescent="0.25">
      <c r="A145" s="6" t="s">
        <v>133</v>
      </c>
      <c r="B145" s="3">
        <v>457</v>
      </c>
      <c r="C145" s="4">
        <v>6.35</v>
      </c>
      <c r="D145" s="4">
        <f t="shared" si="4"/>
        <v>70.572026591249994</v>
      </c>
    </row>
    <row r="146" spans="1:4" x14ac:dyDescent="0.25">
      <c r="A146" s="6" t="s">
        <v>134</v>
      </c>
      <c r="B146" s="3">
        <v>457</v>
      </c>
      <c r="C146" s="4">
        <v>7.92</v>
      </c>
      <c r="D146" s="4">
        <f t="shared" si="4"/>
        <v>87.713892446399996</v>
      </c>
    </row>
    <row r="147" spans="1:4" x14ac:dyDescent="0.25">
      <c r="A147" s="6" t="s">
        <v>135</v>
      </c>
      <c r="B147" s="3">
        <v>457</v>
      </c>
      <c r="C147" s="4">
        <v>11.13</v>
      </c>
      <c r="D147" s="4">
        <f t="shared" si="4"/>
        <v>122.38351004565001</v>
      </c>
    </row>
    <row r="148" spans="1:4" x14ac:dyDescent="0.25">
      <c r="A148" s="6" t="s">
        <v>136</v>
      </c>
      <c r="B148" s="3">
        <v>457</v>
      </c>
      <c r="C148" s="4">
        <v>9.52</v>
      </c>
      <c r="D148" s="4">
        <f t="shared" si="4"/>
        <v>105.05822675040001</v>
      </c>
    </row>
    <row r="149" spans="1:4" x14ac:dyDescent="0.25">
      <c r="A149" s="6" t="s">
        <v>137</v>
      </c>
      <c r="B149" s="3">
        <v>457</v>
      </c>
      <c r="C149" s="4">
        <v>14.27</v>
      </c>
      <c r="D149" s="4">
        <f t="shared" si="4"/>
        <v>155.80536672164999</v>
      </c>
    </row>
    <row r="150" spans="1:4" x14ac:dyDescent="0.25">
      <c r="A150" s="6" t="s">
        <v>138</v>
      </c>
      <c r="B150" s="3">
        <v>457</v>
      </c>
      <c r="C150" s="4">
        <v>19.05</v>
      </c>
      <c r="D150" s="4">
        <f t="shared" si="4"/>
        <v>205.74959977124999</v>
      </c>
    </row>
    <row r="151" spans="1:4" x14ac:dyDescent="0.25">
      <c r="A151" s="6" t="s">
        <v>139</v>
      </c>
      <c r="B151" s="3">
        <v>457</v>
      </c>
      <c r="C151" s="4">
        <v>12.7</v>
      </c>
      <c r="D151" s="4">
        <f t="shared" si="4"/>
        <v>139.15522651499998</v>
      </c>
    </row>
    <row r="152" spans="1:4" x14ac:dyDescent="0.25">
      <c r="A152" s="6" t="s">
        <v>140</v>
      </c>
      <c r="B152" s="3">
        <v>457</v>
      </c>
      <c r="C152" s="4">
        <v>23.83</v>
      </c>
      <c r="D152" s="4">
        <f t="shared" si="4"/>
        <v>254.56688118764998</v>
      </c>
    </row>
    <row r="153" spans="1:4" x14ac:dyDescent="0.25">
      <c r="A153" s="6" t="s">
        <v>141</v>
      </c>
      <c r="B153" s="3">
        <v>457</v>
      </c>
      <c r="C153" s="4">
        <v>29.36</v>
      </c>
      <c r="D153" s="4">
        <f t="shared" si="4"/>
        <v>309.63771972959995</v>
      </c>
    </row>
    <row r="154" spans="1:4" x14ac:dyDescent="0.25">
      <c r="A154" s="6" t="s">
        <v>142</v>
      </c>
      <c r="B154" s="3">
        <v>457</v>
      </c>
      <c r="C154" s="4">
        <v>34.92</v>
      </c>
      <c r="D154" s="4">
        <f t="shared" si="4"/>
        <v>363.48667712640002</v>
      </c>
    </row>
    <row r="155" spans="1:4" x14ac:dyDescent="0.25">
      <c r="A155" s="6" t="s">
        <v>143</v>
      </c>
      <c r="B155" s="3">
        <v>457</v>
      </c>
      <c r="C155" s="4">
        <v>39.67</v>
      </c>
      <c r="D155" s="4">
        <f t="shared" si="4"/>
        <v>408.28299714765001</v>
      </c>
    </row>
    <row r="156" spans="1:4" x14ac:dyDescent="0.25">
      <c r="A156" s="6" t="s">
        <v>144</v>
      </c>
      <c r="B156" s="3">
        <v>457</v>
      </c>
      <c r="C156" s="4">
        <v>45.24</v>
      </c>
      <c r="D156" s="4">
        <f t="shared" si="4"/>
        <v>459.39497441760005</v>
      </c>
    </row>
    <row r="157" spans="1:4" x14ac:dyDescent="0.25">
      <c r="A157" s="6" t="s">
        <v>145</v>
      </c>
      <c r="B157" s="3">
        <v>508</v>
      </c>
      <c r="C157" s="4">
        <v>6.35</v>
      </c>
      <c r="D157" s="4">
        <f t="shared" si="4"/>
        <v>78.558653366249985</v>
      </c>
    </row>
    <row r="158" spans="1:4" x14ac:dyDescent="0.25">
      <c r="A158" s="6" t="s">
        <v>146</v>
      </c>
      <c r="B158" s="3">
        <v>508</v>
      </c>
      <c r="C158" s="4">
        <v>9.52</v>
      </c>
      <c r="D158" s="4">
        <f t="shared" si="4"/>
        <v>117.0318782304</v>
      </c>
    </row>
    <row r="159" spans="1:4" x14ac:dyDescent="0.25">
      <c r="A159" s="6" t="s">
        <v>147</v>
      </c>
      <c r="B159" s="3">
        <v>508</v>
      </c>
      <c r="C159" s="4">
        <v>12.7</v>
      </c>
      <c r="D159" s="4">
        <f t="shared" si="4"/>
        <v>155.12848006499999</v>
      </c>
    </row>
    <row r="160" spans="1:4" x14ac:dyDescent="0.25">
      <c r="A160" s="6" t="s">
        <v>148</v>
      </c>
      <c r="B160" s="3">
        <v>508</v>
      </c>
      <c r="C160" s="4">
        <v>9.52</v>
      </c>
      <c r="D160" s="4">
        <f t="shared" si="4"/>
        <v>117.0318782304</v>
      </c>
    </row>
    <row r="161" spans="1:4" x14ac:dyDescent="0.25">
      <c r="A161" s="6" t="s">
        <v>149</v>
      </c>
      <c r="B161" s="3">
        <v>508</v>
      </c>
      <c r="C161" s="4">
        <v>15.09</v>
      </c>
      <c r="D161" s="4">
        <f t="shared" si="4"/>
        <v>183.43253047185001</v>
      </c>
    </row>
    <row r="162" spans="1:4" x14ac:dyDescent="0.25">
      <c r="A162" s="6" t="s">
        <v>150</v>
      </c>
      <c r="B162" s="3">
        <v>508</v>
      </c>
      <c r="C162" s="4">
        <v>20.62</v>
      </c>
      <c r="D162" s="4">
        <f t="shared" ref="D162:D176" si="5">SUM(B162-C162)*C162*0.0246615</f>
        <v>247.84254095940003</v>
      </c>
    </row>
    <row r="163" spans="1:4" x14ac:dyDescent="0.25">
      <c r="A163" s="6" t="s">
        <v>151</v>
      </c>
      <c r="B163" s="3">
        <v>508</v>
      </c>
      <c r="C163" s="4">
        <v>12.7</v>
      </c>
      <c r="D163" s="4">
        <f t="shared" si="5"/>
        <v>155.12848006499999</v>
      </c>
    </row>
    <row r="164" spans="1:4" x14ac:dyDescent="0.25">
      <c r="A164" s="6" t="s">
        <v>152</v>
      </c>
      <c r="B164" s="3">
        <v>508</v>
      </c>
      <c r="C164" s="4">
        <v>26.19</v>
      </c>
      <c r="D164" s="4">
        <f t="shared" si="5"/>
        <v>311.19370007984998</v>
      </c>
    </row>
    <row r="165" spans="1:4" x14ac:dyDescent="0.25">
      <c r="A165" s="6" t="s">
        <v>153</v>
      </c>
      <c r="B165" s="3">
        <v>508</v>
      </c>
      <c r="C165" s="4">
        <v>32.54</v>
      </c>
      <c r="D165" s="4">
        <f t="shared" si="5"/>
        <v>381.54961794659999</v>
      </c>
    </row>
    <row r="166" spans="1:4" x14ac:dyDescent="0.25">
      <c r="A166" s="6" t="s">
        <v>154</v>
      </c>
      <c r="B166" s="3">
        <v>508</v>
      </c>
      <c r="C166" s="4">
        <v>38.1</v>
      </c>
      <c r="D166" s="4">
        <f t="shared" si="5"/>
        <v>441.51952018499998</v>
      </c>
    </row>
    <row r="167" spans="1:4" x14ac:dyDescent="0.25">
      <c r="A167" s="6" t="s">
        <v>155</v>
      </c>
      <c r="B167" s="3">
        <v>508</v>
      </c>
      <c r="C167" s="4">
        <v>44.45</v>
      </c>
      <c r="D167" s="4">
        <f t="shared" si="5"/>
        <v>508.14521354624998</v>
      </c>
    </row>
    <row r="168" spans="1:4" x14ac:dyDescent="0.25">
      <c r="A168" s="6" t="s">
        <v>156</v>
      </c>
      <c r="B168" s="3">
        <v>508</v>
      </c>
      <c r="C168" s="4">
        <v>50.01</v>
      </c>
      <c r="D168" s="4">
        <f t="shared" si="5"/>
        <v>564.84896645385004</v>
      </c>
    </row>
    <row r="169" spans="1:4" x14ac:dyDescent="0.25">
      <c r="A169" s="6" t="s">
        <v>157</v>
      </c>
      <c r="B169" s="3">
        <v>559</v>
      </c>
      <c r="C169" s="4">
        <v>6.35</v>
      </c>
      <c r="D169" s="4">
        <f t="shared" si="5"/>
        <v>86.545280141249989</v>
      </c>
    </row>
    <row r="170" spans="1:4" x14ac:dyDescent="0.25">
      <c r="A170" s="6" t="s">
        <v>158</v>
      </c>
      <c r="B170" s="3">
        <v>559</v>
      </c>
      <c r="C170" s="4">
        <v>9.52</v>
      </c>
      <c r="D170" s="4">
        <f t="shared" si="5"/>
        <v>129.0055297104</v>
      </c>
    </row>
    <row r="171" spans="1:4" x14ac:dyDescent="0.25">
      <c r="A171" s="6" t="s">
        <v>159</v>
      </c>
      <c r="B171" s="3">
        <v>559</v>
      </c>
      <c r="C171" s="4">
        <v>12.7</v>
      </c>
      <c r="D171" s="4">
        <f t="shared" si="5"/>
        <v>171.10173361499997</v>
      </c>
    </row>
    <row r="172" spans="1:4" x14ac:dyDescent="0.25">
      <c r="A172" s="6" t="s">
        <v>160</v>
      </c>
      <c r="B172" s="3">
        <v>559</v>
      </c>
      <c r="C172" s="4">
        <v>9.52</v>
      </c>
      <c r="D172" s="4">
        <f t="shared" si="5"/>
        <v>129.0055297104</v>
      </c>
    </row>
    <row r="173" spans="1:4" x14ac:dyDescent="0.25">
      <c r="A173" s="6" t="s">
        <v>161</v>
      </c>
      <c r="B173" s="3">
        <v>559</v>
      </c>
      <c r="C173" s="4">
        <v>9.52</v>
      </c>
      <c r="D173" s="4">
        <f t="shared" si="5"/>
        <v>129.0055297104</v>
      </c>
    </row>
    <row r="174" spans="1:4" x14ac:dyDescent="0.25">
      <c r="A174" s="6" t="s">
        <v>162</v>
      </c>
      <c r="B174" s="3">
        <v>559</v>
      </c>
      <c r="C174" s="4">
        <v>22.22</v>
      </c>
      <c r="D174" s="4">
        <f t="shared" si="5"/>
        <v>294.1439153334</v>
      </c>
    </row>
    <row r="175" spans="1:4" x14ac:dyDescent="0.25">
      <c r="A175" s="6" t="s">
        <v>163</v>
      </c>
      <c r="B175" s="3">
        <v>559</v>
      </c>
      <c r="C175" s="4">
        <v>12.7</v>
      </c>
      <c r="D175" s="4">
        <f t="shared" si="5"/>
        <v>171.10173361499997</v>
      </c>
    </row>
    <row r="176" spans="1:4" x14ac:dyDescent="0.25">
      <c r="A176" s="6" t="s">
        <v>164</v>
      </c>
      <c r="B176" s="3">
        <v>559</v>
      </c>
      <c r="C176" s="4">
        <v>28.58</v>
      </c>
      <c r="D176" s="4">
        <f t="shared" si="5"/>
        <v>373.85363188139996</v>
      </c>
    </row>
    <row r="177" spans="1:4" x14ac:dyDescent="0.25">
      <c r="A177" s="6" t="s">
        <v>165</v>
      </c>
      <c r="B177" s="3">
        <v>559</v>
      </c>
      <c r="C177" s="4">
        <v>34.92</v>
      </c>
      <c r="D177" s="4">
        <f t="shared" ref="D177:D192" si="6">SUM(B177-C177)*C177*0.0246615</f>
        <v>451.32699428640007</v>
      </c>
    </row>
    <row r="178" spans="1:4" x14ac:dyDescent="0.25">
      <c r="A178" s="6" t="s">
        <v>166</v>
      </c>
      <c r="B178" s="3">
        <v>559</v>
      </c>
      <c r="C178" s="4">
        <v>41.28</v>
      </c>
      <c r="D178" s="4">
        <f t="shared" si="6"/>
        <v>527.05279347840008</v>
      </c>
    </row>
    <row r="179" spans="1:4" x14ac:dyDescent="0.25">
      <c r="A179" s="6" t="s">
        <v>167</v>
      </c>
      <c r="B179" s="3">
        <v>559</v>
      </c>
      <c r="C179" s="4">
        <v>47.62</v>
      </c>
      <c r="D179" s="4">
        <f t="shared" si="6"/>
        <v>600.55476656940004</v>
      </c>
    </row>
    <row r="180" spans="1:4" x14ac:dyDescent="0.25">
      <c r="A180" s="6" t="s">
        <v>168</v>
      </c>
      <c r="B180" s="3">
        <v>559</v>
      </c>
      <c r="C180" s="4">
        <v>53.98</v>
      </c>
      <c r="D180" s="4">
        <f t="shared" si="6"/>
        <v>672.29664840539999</v>
      </c>
    </row>
    <row r="181" spans="1:4" x14ac:dyDescent="0.25">
      <c r="A181" s="6" t="s">
        <v>169</v>
      </c>
      <c r="B181" s="3">
        <v>610</v>
      </c>
      <c r="C181" s="4">
        <v>6.35</v>
      </c>
      <c r="D181" s="4">
        <f t="shared" si="6"/>
        <v>94.531906916249994</v>
      </c>
    </row>
    <row r="182" spans="1:4" x14ac:dyDescent="0.25">
      <c r="A182" s="6" t="s">
        <v>170</v>
      </c>
      <c r="B182" s="3">
        <v>610</v>
      </c>
      <c r="C182" s="4">
        <v>9.52</v>
      </c>
      <c r="D182" s="4">
        <f t="shared" si="6"/>
        <v>140.9791811904</v>
      </c>
    </row>
    <row r="183" spans="1:4" x14ac:dyDescent="0.25">
      <c r="A183" s="6" t="s">
        <v>171</v>
      </c>
      <c r="B183" s="3">
        <v>610</v>
      </c>
      <c r="C183" s="4">
        <v>14.27</v>
      </c>
      <c r="D183" s="4">
        <f t="shared" si="6"/>
        <v>209.64906628665</v>
      </c>
    </row>
    <row r="184" spans="1:4" x14ac:dyDescent="0.25">
      <c r="A184" s="6" t="s">
        <v>172</v>
      </c>
      <c r="B184" s="3">
        <v>610</v>
      </c>
      <c r="C184" s="4">
        <v>9.5299999999999994</v>
      </c>
      <c r="D184" s="4">
        <f t="shared" si="6"/>
        <v>141.12491832465</v>
      </c>
    </row>
    <row r="185" spans="1:4" x14ac:dyDescent="0.25">
      <c r="A185" s="6" t="s">
        <v>173</v>
      </c>
      <c r="B185" s="3">
        <v>610</v>
      </c>
      <c r="C185" s="4">
        <v>17.48</v>
      </c>
      <c r="D185" s="4">
        <f t="shared" si="6"/>
        <v>255.42531101039998</v>
      </c>
    </row>
    <row r="186" spans="1:4" x14ac:dyDescent="0.25">
      <c r="A186" s="6" t="s">
        <v>174</v>
      </c>
      <c r="B186" s="3">
        <v>610</v>
      </c>
      <c r="C186" s="4">
        <v>24.61</v>
      </c>
      <c r="D186" s="4">
        <f t="shared" si="6"/>
        <v>355.28461488584998</v>
      </c>
    </row>
    <row r="187" spans="1:4" x14ac:dyDescent="0.25">
      <c r="A187" s="6" t="s">
        <v>175</v>
      </c>
      <c r="B187" s="3">
        <v>610</v>
      </c>
      <c r="C187" s="4">
        <v>12.7</v>
      </c>
      <c r="D187" s="4">
        <f t="shared" si="6"/>
        <v>187.07498716499998</v>
      </c>
    </row>
    <row r="188" spans="1:4" x14ac:dyDescent="0.25">
      <c r="A188" s="6" t="s">
        <v>176</v>
      </c>
      <c r="B188" s="3">
        <v>610</v>
      </c>
      <c r="C188" s="4">
        <v>30.96</v>
      </c>
      <c r="D188" s="4">
        <f t="shared" si="6"/>
        <v>442.10864396159997</v>
      </c>
    </row>
    <row r="189" spans="1:4" x14ac:dyDescent="0.25">
      <c r="A189" s="6" t="s">
        <v>177</v>
      </c>
      <c r="B189" s="3">
        <v>610</v>
      </c>
      <c r="C189" s="4">
        <v>38.89</v>
      </c>
      <c r="D189" s="4">
        <f t="shared" si="6"/>
        <v>547.74345411585</v>
      </c>
    </row>
    <row r="190" spans="1:4" x14ac:dyDescent="0.25">
      <c r="A190" s="6" t="s">
        <v>178</v>
      </c>
      <c r="B190" s="3">
        <v>610</v>
      </c>
      <c r="C190" s="4">
        <v>46.02</v>
      </c>
      <c r="D190" s="4">
        <f t="shared" si="6"/>
        <v>640.07343927540012</v>
      </c>
    </row>
    <row r="191" spans="1:4" x14ac:dyDescent="0.25">
      <c r="A191" s="6" t="s">
        <v>179</v>
      </c>
      <c r="B191" s="3">
        <v>610</v>
      </c>
      <c r="C191" s="4">
        <v>52.37</v>
      </c>
      <c r="D191" s="4">
        <f t="shared" si="6"/>
        <v>720.19183387064993</v>
      </c>
    </row>
    <row r="192" spans="1:4" x14ac:dyDescent="0.25">
      <c r="A192" s="6" t="s">
        <v>180</v>
      </c>
      <c r="B192" s="3">
        <v>610</v>
      </c>
      <c r="C192" s="4">
        <v>59.54</v>
      </c>
      <c r="D192" s="4">
        <f t="shared" si="6"/>
        <v>808.26557952660005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C.S. &amp; AS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2025-09-25T14:00:54Z</dcterms:created>
  <dcterms:modified xsi:type="dcterms:W3CDTF">2026-07-24T14:26:25Z</dcterms:modified>
</cp:coreProperties>
</file>